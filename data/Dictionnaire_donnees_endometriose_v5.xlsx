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sez_moi" sheetId="1" state="visible" r:id="rId1"/>
    <sheet xmlns:r="http://schemas.openxmlformats.org/officeDocument/2006/relationships" name="Principes_RGPD" sheetId="2" state="visible" r:id="rId2"/>
    <sheet xmlns:r="http://schemas.openxmlformats.org/officeDocument/2006/relationships" name="Dictionnaire" sheetId="3" state="visible" r:id="rId3"/>
    <sheet xmlns:r="http://schemas.openxmlformats.org/officeDocument/2006/relationships" name="Modalites" sheetId="4" state="visible" r:id="rId4"/>
    <sheet xmlns:r="http://schemas.openxmlformats.org/officeDocument/2006/relationships" name="Formulaires" sheetId="5" state="visible" r:id="rId5"/>
    <sheet xmlns:r="http://schemas.openxmlformats.org/officeDocument/2006/relationships" name="Listes" sheetId="6" state="visible" r:id="rId6"/>
    <sheet xmlns:r="http://schemas.openxmlformats.org/officeDocument/2006/relationships" name="Regles_controle" sheetId="7" state="visible" r:id="rId7"/>
    <sheet xmlns:r="http://schemas.openxmlformats.org/officeDocument/2006/relationships" name="Feuille_de_collecte" sheetId="8" state="visible" r:id="rId8"/>
  </sheets>
  <definedNames>
    <definedName name="_xlnm._FilterDatabase" localSheetId="2" hidden="1">'Dictionnaire'!$A$4:$L$30</definedName>
    <definedName name="_xlnm._FilterDatabase" localSheetId="3" hidden="1">'Modalites'!$A$4:$F$98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5B2149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5B2149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B03A2E"/>
      <sz val="10"/>
    </font>
    <font>
      <name val="Arial"/>
      <charset val="1"/>
      <family val="0"/>
      <color rgb="FFB03A2E"/>
      <sz val="10"/>
    </font>
    <font>
      <name val="Arial"/>
      <charset val="1"/>
      <family val="0"/>
      <i val="1"/>
      <color rgb="FF888888"/>
      <sz val="10"/>
    </font>
  </fonts>
  <fills count="8">
    <fill>
      <patternFill/>
    </fill>
    <fill>
      <patternFill patternType="gray125"/>
    </fill>
    <fill>
      <patternFill patternType="solid">
        <fgColor rgb="FF5B2149"/>
        <bgColor rgb="FF660066"/>
      </patternFill>
    </fill>
    <fill>
      <patternFill patternType="solid">
        <fgColor rgb="FFF4EEF2"/>
        <bgColor rgb="FFF2F2F2"/>
      </patternFill>
    </fill>
    <fill>
      <patternFill patternType="solid">
        <fgColor rgb="FFFFF7DB"/>
        <bgColor rgb="FFFCEDE9"/>
      </patternFill>
    </fill>
    <fill>
      <patternFill patternType="solid">
        <fgColor rgb="FFFCEDE9"/>
        <bgColor rgb="FFF4EEF2"/>
      </patternFill>
    </fill>
    <fill>
      <patternFill patternType="solid">
        <fgColor rgb="FFE8F4F2"/>
        <bgColor rgb="FFF2F2F2"/>
      </patternFill>
    </fill>
    <fill>
      <patternFill patternType="solid">
        <fgColor rgb="FFF2F2F2"/>
        <bgColor rgb="FFF4EEF2"/>
      </patternFill>
    </fill>
  </fills>
  <borders count="2">
    <border>
      <left/>
      <right/>
      <top/>
      <bottom/>
      <diagonal/>
    </border>
    <border>
      <left style="thin">
        <color rgb="FFD8CCD4"/>
      </left>
      <right style="thin">
        <color rgb="FFD8CCD4"/>
      </right>
      <top style="thin">
        <color rgb="FFD8CCD4"/>
      </top>
      <bottom style="thin">
        <color rgb="FFD8CCD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9" fillId="7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9" fillId="7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5B2149"/>
          <bgColor rgb="FF000000"/>
        </patternFill>
      </fill>
    </dxf>
    <dxf>
      <fill>
        <patternFill patternType="solid">
          <fgColor rgb="FFE8F4F2"/>
          <bgColor rgb="FF000000"/>
        </patternFill>
      </fill>
    </dxf>
    <dxf>
      <fill>
        <patternFill patternType="solid">
          <fgColor rgb="FFFCED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03A2E"/>
          <bgColor rgb="FF000000"/>
        </patternFill>
      </fill>
    </dxf>
    <dxf>
      <fill>
        <patternFill patternType="solid">
          <fgColor rgb="FFF4EE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7DB"/>
      <rgbColor rgb="FFE8F4F2"/>
      <rgbColor rgb="FF660066"/>
      <rgbColor rgb="FFFF8080"/>
      <rgbColor rgb="FF0066CC"/>
      <rgbColor rgb="FFD8CC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4EEF2"/>
      <rgbColor rgb="FFFCED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03A2E"/>
      <rgbColor rgb="FF993366"/>
      <rgbColor rgb="FF333399"/>
      <rgbColor rgb="FF5B214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6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106" customWidth="1" style="32" min="2" max="2"/>
  </cols>
  <sheetData>
    <row r="2" ht="17.35" customHeight="1" s="33">
      <c r="B2" s="34" t="inlineStr">
        <is>
          <t>Dictionnaire des données — Projet de prédiction du risque d'endométriose</t>
        </is>
      </c>
    </row>
    <row r="3" ht="15" customHeight="1" s="33">
      <c r="B3" s="35" t="inlineStr">
        <is>
          <t>iGEM ORION · LPCT (CNRS UMR 7019) · v4 · août 2026</t>
        </is>
      </c>
    </row>
    <row r="5" ht="15" customHeight="1" s="33">
      <c r="B5" s="36" t="inlineStr">
        <is>
          <t>Ce que contient ce classeur</t>
        </is>
      </c>
    </row>
    <row r="6" ht="15" customHeight="1" s="33">
      <c r="B6" s="37" t="inlineStr">
        <is>
          <t>Principes_RGPD — le cadre d'anonymisation. C'est la feuille à montrer à l'association et au DPO.</t>
        </is>
      </c>
    </row>
    <row r="7" ht="15" customHeight="1" s="33">
      <c r="B7" s="37" t="inlineStr">
        <is>
          <t>Dictionnaire — une ligne par variable. Source de vérité du pipeline : la colonne « Rôle » construit X et y.</t>
        </is>
      </c>
    </row>
    <row r="8" ht="15" customHeight="1" s="33">
      <c r="B8" s="37" t="inlineStr">
        <is>
          <t>Modalites — une ligne par (variable, valeur). Table de codage + liste blanche de validation + alias acceptés.</t>
        </is>
      </c>
    </row>
    <row r="9" ht="15" customHeight="1" s="33">
      <c r="B9" s="37" t="inlineStr">
        <is>
          <t>Listes — valeurs autorisées en colonnes, sert aux menus déroulants de la feuille de collecte. Feuille technique.</t>
        </is>
      </c>
    </row>
    <row r="10" ht="15" customHeight="1" s="33">
      <c r="B10" s="37" t="inlineStr">
        <is>
          <t>Regles_controle — 15 assertions à implémenter dans le pipeline.</t>
        </is>
      </c>
    </row>
    <row r="11" ht="15" customHeight="1" s="33">
      <c r="B11" s="37" t="inlineStr">
        <is>
          <t>Feuille_de_collecte — modèle à remplir si l'association transmet un tableau plutôt que le formulaire en ligne.</t>
        </is>
      </c>
    </row>
    <row r="13" ht="15" customHeight="1" s="33">
      <c r="B13" s="36" t="inlineStr">
        <is>
          <t>Deux sources de données, un seul vocabulaire</t>
        </is>
      </c>
    </row>
    <row r="14" ht="23.85" customHeight="1" s="33">
      <c r="B14" s="37" t="inlineStr">
        <is>
          <t>Les réponses peuvent arriver par deux canaux : le formulaire en ligne, et la feuille de collecte remplie par l'association. Les deux n'écrivent pas les libellés de la même façon (« &lt;21 j » contre « &lt;21 jours », « Non » contre « Aucune »).</t>
        </is>
      </c>
    </row>
    <row r="15" ht="23.85" customHeight="1" s="33">
      <c r="B15" s="37" t="inlineStr">
        <is>
          <t>La valeur canonique retenue est TOUJOURS celle du formulaire en ligne, puisque c'est lui qui produit les données réelles. La colonne « Alias acceptés » de la feuille Modalites liste les écritures alternatives à normaliser en entrée de pipeline (contrôle C-13).</t>
        </is>
      </c>
    </row>
    <row r="17" ht="15" customHeight="1" s="33">
      <c r="B17" s="36" t="inlineStr">
        <is>
          <t>Trois valeurs manquantes, à ne jamais fusionner</t>
        </is>
      </c>
    </row>
    <row r="18" ht="23.85" customHeight="1" s="33">
      <c r="B18" s="37" t="inlineStr">
        <is>
          <t>NA_non_applicable — la question n'a pas été affichée (Stade pour une non diagnostiquée). La donnée n'existe pas : elle ne peut pas être imputée.</t>
        </is>
      </c>
    </row>
    <row r="19" ht="23.85" customHeight="1" s="33">
      <c r="B19" s="37" t="inlineStr">
        <is>
          <t>NA_inconnu — la question s'appliquait, la répondante ne connaît pas la réponse (« Inconnu »). L'ignorance est elle-même une information.</t>
        </is>
      </c>
    </row>
    <row r="20" ht="15" customHeight="1" s="33">
      <c r="B20" s="37" t="inlineStr">
        <is>
          <t>NA_non_renseigne — la répondante a choisi de ne pas répondre (« Non renseigné »).</t>
        </is>
      </c>
    </row>
    <row r="22" ht="15" customHeight="1" s="33">
      <c r="B22" s="36" t="inlineStr">
        <is>
          <t>Trois variables à ne jamais mettre dans X</t>
        </is>
      </c>
    </row>
    <row r="23" ht="15" customHeight="1" s="33">
      <c r="B23" s="37" t="inlineStr">
        <is>
          <t>Groupe — c'est la cible.</t>
        </is>
      </c>
    </row>
    <row r="24" ht="15" customHeight="1" s="33">
      <c r="B24" s="37" t="inlineStr">
        <is>
          <t>Stade — n'existe que chez les Cas : sa seule présence révèle la cible.</t>
        </is>
      </c>
    </row>
    <row r="25" ht="23.85" customHeight="1" s="33">
      <c r="B25" s="37" t="inlineStr">
        <is>
          <t>Delai_diagnostic — un délai renseigné implique un diagnostic, donc la cible. C'est en revanche la variable à expliquer du second modèle (« qui est diagnostiquée tardivement »), qui ne porte alors que sur le sous-groupe des Cas.</t>
        </is>
      </c>
    </row>
    <row r="26" ht="23.85" customHeight="1" s="33">
      <c r="B26" s="37" t="inlineStr">
        <is>
          <t>Le contrôle C-07 vérifie ce point automatiquement. Sur un échantillon de cette taille, une AUC supérieure à 0,97 signale presque toujours une fuite, pas un bon modèle.</t>
        </is>
      </c>
    </row>
    <row r="28" ht="15" customHeight="1" s="33">
      <c r="B28" s="36" t="inlineStr">
        <is>
          <t>Périmètre</t>
        </is>
      </c>
    </row>
    <row r="29" ht="35.05" customHeight="1" s="33">
      <c r="B29" s="37" t="inlineStr">
        <is>
          <t>25 questions du volet dry lab. Le formulaire en ligne diffusé comporte une question supplémentaire ajoutée par le volet Human Practices, conditionnée à Dysmenorrhee = Sévère, hors modélisation. L'export brut contiendra ses colonnes : les écarter par NOM, jamais par position (contrôle C-01).</t>
        </is>
      </c>
    </row>
    <row r="31" ht="15" customHeight="1" s="33">
      <c r="B31" s="36" t="inlineStr">
        <is>
          <t>Journal des versions</t>
        </is>
      </c>
    </row>
    <row r="32" ht="15" customHeight="1" s="33">
      <c r="B32" s="37" t="inlineStr">
        <is>
          <t>v1 — version initiale : cadre RGPD, 27 variables, feuille de collecte.</t>
        </is>
      </c>
    </row>
    <row r="33" ht="15" customHeight="1" s="33">
      <c r="B33" s="37" t="inlineStr">
        <is>
          <t>v2 — août 2026 — fusion avec la couche modélisation. Modifications :</t>
        </is>
      </c>
    </row>
    <row r="34" ht="15" customHeight="1" s="33">
      <c r="B34" s="37" t="inlineStr">
        <is>
          <t xml:space="preserve">     · libellés des modalités alignés sur le formulaire en ligne réellement diffusé (7 écarts corrigés)</t>
        </is>
      </c>
    </row>
    <row r="35" ht="15" customHeight="1" s="33">
      <c r="B35" s="37" t="inlineStr">
        <is>
          <t xml:space="preserve">     · ajout de la modalité « Non concernée » sur Age_apparition_symptomes et Delai_diagnostic</t>
        </is>
      </c>
    </row>
    <row r="36" ht="15" customHeight="1" s="33">
      <c r="B36" s="37" t="inlineStr">
        <is>
          <t xml:space="preserve">     · « Stade (si cas) » et « Delai_diagnostic (si cas) » renommés sans parenthèses (noms de colonnes)</t>
        </is>
      </c>
    </row>
    <row r="37" ht="15" customHeight="1" s="33">
      <c r="B37" s="37" t="inlineStr">
        <is>
          <t xml:space="preserve">     · noms harmonisés entre le dictionnaire et la feuille de collecte</t>
        </is>
      </c>
    </row>
    <row r="38" ht="15" customHeight="1" s="33">
      <c r="B38" s="37" t="inlineStr">
        <is>
          <t xml:space="preserve">     · Origine_geographique écartée (voir bloc « Variables écartées » du Dictionnaire)</t>
        </is>
      </c>
    </row>
    <row r="39" ht="15" customHeight="1" s="33">
      <c r="B39" s="37" t="inlineStr">
        <is>
          <t xml:space="preserve">     · ajout des colonnes Type, Rôle, Conditionnel, codage numérique et alias</t>
        </is>
      </c>
    </row>
    <row r="40" ht="15" customHeight="1" s="33">
      <c r="B40" s="37" t="inlineStr">
        <is>
          <t xml:space="preserve">     · ajout des feuilles Regles_controle et Listes, menus déroulants sur la feuille de collecte</t>
        </is>
      </c>
    </row>
    <row r="41">
      <c r="B41" s="37" t="inlineStr"/>
    </row>
    <row r="42">
      <c r="B42" s="37" t="inlineStr">
        <is>
          <t>v3 — août 2026 — ajout de Source_canal (canal de recrutement, rôle « exclu »).</t>
        </is>
      </c>
    </row>
    <row r="43">
      <c r="B43" s="37" t="inlineStr">
        <is>
          <t>v4 — août 2026 — alignement sur les 7 formulaires réellement diffusés :</t>
        </is>
      </c>
    </row>
    <row r="44">
      <c r="B44" s="37" t="inlineStr">
        <is>
          <t xml:space="preserve">     · nouvelle feuille Formulaires : registre des 7 exemplaires, jeux de clés, sid de test à exclure</t>
        </is>
      </c>
    </row>
    <row r="45">
      <c r="B45" s="37" t="inlineStr">
        <is>
          <t xml:space="preserve">     · Source_canal : ajout de communaute_intl (formulaire anglais), 7 modalités</t>
        </is>
      </c>
    </row>
    <row r="46">
      <c r="B46" s="37" t="inlineStr">
        <is>
          <t xml:space="preserve">     · nouvelle variable Langue_formulaire (fr/en), rôle « exclu » — dimension distincte du canal</t>
        </is>
      </c>
    </row>
    <row r="47">
      <c r="B47" s="37" t="inlineStr">
        <is>
          <t xml:space="preserve">     · colonnes Cle_export_fr et Cle_export_en dans le Dictionnaire : la correspondance clé → variable</t>
        </is>
      </c>
    </row>
    <row r="48">
      <c r="B48" s="37" t="inlineStr">
        <is>
          <t xml:space="preserve">       vit dans le classeur, pas dans le code</t>
        </is>
      </c>
    </row>
    <row r="49">
      <c r="B49" s="37" t="inlineStr">
        <is>
          <t xml:space="preserve">     · colonne « Libellé EN » dans Modalites : correspondance canonique FR → libellé du formulaire anglais</t>
        </is>
      </c>
    </row>
    <row r="50">
      <c r="B50" s="37" t="inlineStr">
        <is>
          <t xml:space="preserve">     · 5 alias manquants constatés dans les exports réels (« ≥45 » avec espace initiale, « &gt; 7 jours »,</t>
        </is>
      </c>
    </row>
    <row r="51">
      <c r="B51" s="37" t="inlineStr">
        <is>
          <t xml:space="preserve">       « &lt; 2 ans », « &gt; 10 ans », « inconnu » en minuscule)</t>
        </is>
      </c>
    </row>
    <row r="52">
      <c r="B52" s="37" t="inlineStr">
        <is>
          <t xml:space="preserve">     · nouvelles règles C-14 (intégrité structurelle) et C-15 (équivalence linguistique)</t>
        </is>
      </c>
    </row>
    <row r="53">
      <c r="B53" s="37" t="inlineStr"/>
    </row>
    <row r="54">
      <c r="B54" s="37" t="inlineStr">
        <is>
          <t>RÉSERVE v4 — les libellés EN non encore observés dans les données sont marqués « À VÉRIFIER » dans</t>
        </is>
      </c>
    </row>
    <row r="55">
      <c r="B55" s="37" t="inlineStr">
        <is>
          <t>Modalites. Ils doivent être relevés sur la page publique du formulaire 178 avant tout import de</t>
        </is>
      </c>
    </row>
    <row r="56">
      <c r="B56" s="37" t="inlineStr">
        <is>
          <t>données anglaises : C-05 rejettera toute modalité absente de la liste blanche.</t>
        </is>
      </c>
    </row>
    <row r="57">
      <c r="B57" s="37" t="inlineStr"/>
    </row>
    <row r="58">
      <c r="B58" s="37" t="inlineStr">
        <is>
          <t>v5 — août 2026 — libellés anglais relevés sur la page publique du formulaire 178 :</t>
        </is>
      </c>
    </row>
    <row r="59">
      <c r="B59" s="37" t="inlineStr">
        <is>
          <t xml:space="preserve">     · les 32 modalités marquées « À VÉRIFIER » en v4 sont renseignées d'après le texte du</t>
        </is>
      </c>
    </row>
    <row r="60">
      <c r="B60" s="37" t="inlineStr">
        <is>
          <t xml:space="preserve">       formulaire, non devinées</t>
        </is>
      </c>
    </row>
    <row r="61">
      <c r="B61" s="37" t="inlineStr">
        <is>
          <t xml:space="preserve">     · ordre des 26 questions du formulaire anglais confirmé identique au formulaire français</t>
        </is>
      </c>
    </row>
    <row r="62">
      <c r="B62" s="37" t="inlineStr">
        <is>
          <t xml:space="preserve">     · Stade : affichée si « Are you diagnosed » = Yes — pas de libellé EN, la question n'est</t>
        </is>
      </c>
    </row>
    <row r="63">
      <c r="B63" s="37" t="inlineStr">
        <is>
          <t xml:space="preserve">       pas exportée quand elle n'est pas affichée</t>
        </is>
      </c>
    </row>
    <row r="64">
      <c r="B64" s="37" t="inlineStr">
        <is>
          <t xml:space="preserve">     · Delai_diagnostic est affichée à TOUTES les répondantes, avec « Not applicable » en option.</t>
        </is>
      </c>
    </row>
    <row r="65">
      <c r="B65" s="37" t="inlineStr">
        <is>
          <t xml:space="preserve">       Les 65 témoins ayant renseigné un délai relèvent donc d'une ambiguïté de formulation,</t>
        </is>
      </c>
    </row>
    <row r="66">
      <c r="B66" s="37" t="inlineStr">
        <is>
          <t xml:space="preserve">       pas d'un défaut du formulaire. C-03 les recode ; le libellé reste à revoir pour toute</t>
        </is>
      </c>
    </row>
    <row r="67">
      <c r="B67" s="37" t="inlineStr">
        <is>
          <t xml:space="preserve">       future version du questionnaire.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32" min="1" max="1"/>
    <col width="96" customWidth="1" style="32" min="2" max="2"/>
  </cols>
  <sheetData>
    <row r="1" ht="17.35" customHeight="1" s="33">
      <c r="A1" s="38" t="inlineStr">
        <is>
          <t>Collecte de données — Projet de prédiction du risque d'endométriose (iGEM ORION / LPCT)</t>
        </is>
      </c>
    </row>
    <row r="2" ht="30" customHeight="1" s="33">
      <c r="A2" s="37" t="inlineStr">
        <is>
          <t>Objectif : constituer un jeu de données ENTIÈREMENT ANONYMISÉ permettant de développer un modèle exploratoire de prédiction du niveau de risque d'endométriose. Aucune donnée identifiante n'est demandée.</t>
        </is>
      </c>
    </row>
    <row r="4" ht="31.5" customHeight="1" s="33">
      <c r="A4" s="39" t="inlineStr">
        <is>
          <t>Principe</t>
        </is>
      </c>
      <c r="B4" s="39" t="inlineStr">
        <is>
          <t>Détail</t>
        </is>
      </c>
    </row>
    <row r="5" ht="42" customHeight="1" s="33">
      <c r="A5" s="40" t="inlineStr">
        <is>
          <t>Règle 1 — Aucun identifiant direct</t>
        </is>
      </c>
      <c r="B5" s="41" t="inlineStr">
        <is>
          <t>Ne jamais transmettre : nom, prénom, adresse, e-mail, n° de sécurité sociale, date de naissance exacte, date de consultation exacte.</t>
        </is>
      </c>
    </row>
    <row r="6" ht="42" customHeight="1" s="33">
      <c r="A6" s="40" t="inlineStr">
        <is>
          <t>Règle 2 — Tout par tranches</t>
        </is>
      </c>
      <c r="B6" s="41" t="inlineStr">
        <is>
          <t>Les valeurs continues (âge, IMC, âge des premières règles…) sont collectées UNIQUEMENT par tranches, jamais en valeur exacte.</t>
        </is>
      </c>
    </row>
    <row r="7" ht="42" customHeight="1" s="33">
      <c r="A7" s="40" t="inlineStr">
        <is>
          <t>Règle 3 — ID anonyme</t>
        </is>
      </c>
      <c r="B7" s="41" t="inlineStr">
        <is>
          <t>L'identifiant est un simple compteur (E001, E002…) sans aucun lien avec l'identité de la patiente. Ne jamais le dériver d'un horodatage ni d'un ordre d'arrivée connu de l'association.</t>
        </is>
      </c>
    </row>
    <row r="8" ht="42" customHeight="1" s="33">
      <c r="A8" s="40" t="inlineStr">
        <is>
          <t>Règle 4 — k-anonymat</t>
        </is>
      </c>
      <c r="B8" s="41" t="inlineStr">
        <is>
          <t>Chaque combinaison de variables doit être partagée par au moins 5 personnes. Regrouper ou supprimer les valeurs rares. Quasi-identifiants prioritaires : Tranche_age, IMC_categorie, Parite, Tabagisme, Consommation_alcool, Activite_physique (contrôle C-08).</t>
        </is>
      </c>
    </row>
    <row r="9" ht="42" customHeight="1" s="33">
      <c r="A9" s="40" t="inlineStr">
        <is>
          <t>Règle 5 — Pas de texte libre</t>
        </is>
      </c>
      <c r="B9" s="41" t="inlineStr">
        <is>
          <t>Aucune description rédigée en texte libre : utiliser uniquement les catégories prévues. Le texte libre peut ré-identifier une personne.</t>
        </is>
      </c>
    </row>
    <row r="10" ht="42" customHeight="1" s="33">
      <c r="A10" s="40" t="inlineStr">
        <is>
          <t>Règle 6 — Deux groupes obligatoires</t>
        </is>
      </c>
      <c r="B10" s="41" t="inlineStr">
        <is>
          <t>Le modèle nécessite DEUX groupes avec exactement les mêmes variables : « Cas » (patientes diagnostiquées) ET « Témoins » (femmes non diagnostiquées). Avec les seuls Cas, aucun modèle prédictif n'est possible.</t>
        </is>
      </c>
    </row>
    <row r="11" ht="42" customHeight="1" s="33">
      <c r="A11" s="40" t="inlineStr">
        <is>
          <t>Règle 7 — Validation DPO</t>
        </is>
      </c>
      <c r="B11" s="41" t="inlineStr">
        <is>
          <t>La conformité finale doit être validée avec le Délégué à la Protection des Données (DPO) du laboratoire AVANT toute transmission de données. Toute modification ultérieure du questionnaire doit lui être signalée.</t>
        </is>
      </c>
    </row>
    <row r="12" ht="42" customHeight="1" s="33">
      <c r="A12" s="40" t="inlineStr">
        <is>
          <t>Règle 8 — Pas de données sensibles au sens de l'article 9</t>
        </is>
      </c>
      <c r="B12" s="41" t="inlineStr">
        <is>
          <t>Aucune donnée relative à l'origine raciale ou ethnique, aux opinions, à la vie sexuelle ou à la religion. C'est la raison pour laquelle Origine_geographique a été écartée du dictionnaire.</t>
        </is>
      </c>
    </row>
    <row r="13" ht="42" customHeight="1" s="33">
      <c r="A13" s="42" t="inlineStr">
        <is>
          <t>Rappel important</t>
        </is>
      </c>
      <c r="B13" s="41" t="inlineStr">
        <is>
          <t>Retirer le nom ne suffit PAS à anonymiser : c'est la COMBINAISON des variables qui doit empêcher toute ré-identification. Des données réellement anonymes sortent du champ du RGPD.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32" min="1" max="1"/>
    <col width="24" customWidth="1" style="32" min="2" max="2"/>
    <col width="26" customWidth="1" style="32" min="3" max="3"/>
    <col width="34" customWidth="1" style="32" min="4" max="4"/>
    <col width="11" customWidth="1" style="32" min="5" max="5"/>
    <col width="12" customWidth="1" style="32" min="6" max="6"/>
    <col width="11" customWidth="1" style="32" min="7" max="7"/>
    <col width="20" customWidth="1" style="32" min="8" max="8"/>
    <col width="21" customWidth="1" style="32" min="9" max="9"/>
    <col width="32" customWidth="1" style="32" min="10" max="10"/>
    <col width="9" customWidth="1" style="32" min="11" max="11"/>
    <col width="48" customWidth="1" style="32" min="12" max="12"/>
    <col width="22" customWidth="1" style="33" min="13" max="13"/>
    <col width="22" customWidth="1" style="33" min="14" max="14"/>
  </cols>
  <sheetData>
    <row r="1" ht="17.35" customHeight="1" s="33">
      <c r="A1" s="38" t="inlineStr">
        <is>
          <t>Dictionnaire des variables</t>
        </is>
      </c>
    </row>
    <row r="2" ht="15" customHeight="1" s="33">
      <c r="A2" s="43" t="inlineStr">
        <is>
          <t>28 champs : 1 identifiant · 1 cible · 2 métadonnées de collecte · 2 exclues (fuite de cible) · 22 features. Aligné sur le formulaire en ligne v2 (7 exemplaires, 26 questions exportées).</t>
        </is>
      </c>
    </row>
    <row r="4" ht="31.5" customHeight="1" s="33">
      <c r="A4" s="39" t="inlineStr">
        <is>
          <t>N° Q</t>
        </is>
      </c>
      <c r="B4" s="39" t="inlineStr">
        <is>
          <t>Catégorie</t>
        </is>
      </c>
      <c r="C4" s="39" t="inlineStr">
        <is>
          <t>Variable</t>
        </is>
      </c>
      <c r="D4" s="39" t="inlineStr">
        <is>
          <t>Description</t>
        </is>
      </c>
      <c r="E4" s="39" t="inlineStr">
        <is>
          <t>Type</t>
        </is>
      </c>
      <c r="F4" s="39" t="inlineStr">
        <is>
          <t>Rôle</t>
        </is>
      </c>
      <c r="G4" s="39" t="inlineStr">
        <is>
          <t>Obligatoire</t>
        </is>
      </c>
      <c r="H4" s="39" t="inlineStr">
        <is>
          <t>Conditionnel</t>
        </is>
      </c>
      <c r="I4" s="39" t="inlineStr">
        <is>
          <t>Valeur si non affichée</t>
        </is>
      </c>
      <c r="J4" s="39" t="inlineStr">
        <is>
          <t>Règle d'anonymisation</t>
        </is>
      </c>
      <c r="K4" s="39" t="inlineStr">
        <is>
          <t>Owner</t>
        </is>
      </c>
      <c r="L4" s="39" t="inlineStr">
        <is>
          <t>Notes / pièges</t>
        </is>
      </c>
      <c r="M4" s="39" t="inlineStr">
        <is>
          <t>Cle_export_fr</t>
        </is>
      </c>
      <c r="N4" s="39" t="inlineStr">
        <is>
          <t>Cle_export_en</t>
        </is>
      </c>
    </row>
    <row r="5" ht="33.75" customHeight="1" s="33">
      <c r="A5" s="44" t="inlineStr">
        <is>
          <t>—</t>
        </is>
      </c>
      <c r="B5" s="44" t="inlineStr">
        <is>
          <t>Groupe &amp; identifiant</t>
        </is>
      </c>
      <c r="C5" s="45" t="inlineStr">
        <is>
          <t>ID_anonyme</t>
        </is>
      </c>
      <c r="D5" s="44" t="inlineStr">
        <is>
          <t>Identifiant anonyme (compteur E001, E002…)</t>
        </is>
      </c>
      <c r="E5" s="44" t="inlineStr">
        <is>
          <t>identifiant</t>
        </is>
      </c>
      <c r="F5" s="46" t="inlineStr">
        <is>
          <t>exclu</t>
        </is>
      </c>
      <c r="G5" s="44" t="inlineStr">
        <is>
          <t>—</t>
        </is>
      </c>
      <c r="H5" s="44" t="inlineStr">
        <is>
          <t>—</t>
        </is>
      </c>
      <c r="I5" s="44" t="inlineStr">
        <is>
          <t>—</t>
        </is>
      </c>
      <c r="J5" s="44" t="inlineStr">
        <is>
          <t>Simple compteur, aucun lien avec l'identité</t>
        </is>
      </c>
      <c r="K5" s="44" t="inlineStr">
        <is>
          <t>drylab</t>
        </is>
      </c>
      <c r="L5" s="44" t="inlineStr">
        <is>
          <t>Champ technique, hors modélisation. Ne jamais le dériver d'un horodatage.</t>
        </is>
      </c>
      <c r="M5" s="44" t="inlineStr">
        <is>
          <t>—</t>
        </is>
      </c>
      <c r="N5" s="44" t="inlineStr">
        <is>
          <t>—</t>
        </is>
      </c>
    </row>
    <row r="6" ht="33.75" customHeight="1" s="33">
      <c r="A6" s="47" t="n">
        <v>3</v>
      </c>
      <c r="B6" s="47" t="inlineStr">
        <is>
          <t>Groupe &amp; identifiant</t>
        </is>
      </c>
      <c r="C6" s="48" t="inlineStr">
        <is>
          <t>Groupe</t>
        </is>
      </c>
      <c r="D6" s="47" t="inlineStr">
        <is>
          <t>Groupe d'étude — diagnostiquée ou non</t>
        </is>
      </c>
      <c r="E6" s="47" t="inlineStr">
        <is>
          <t>binaire</t>
        </is>
      </c>
      <c r="F6" s="49" t="inlineStr">
        <is>
          <t>cible</t>
        </is>
      </c>
      <c r="G6" s="47" t="inlineStr">
        <is>
          <t>Oui</t>
        </is>
      </c>
      <c r="H6" s="47" t="inlineStr">
        <is>
          <t>—</t>
        </is>
      </c>
      <c r="I6" s="47" t="inlineStr">
        <is>
          <t>—</t>
        </is>
      </c>
      <c r="J6" s="47" t="inlineStr">
        <is>
          <t>Aucune (variable cible)</t>
        </is>
      </c>
      <c r="K6" s="47" t="inlineStr">
        <is>
          <t>drylab</t>
        </is>
      </c>
      <c r="L6" s="47" t="inlineStr">
        <is>
          <t>CIBLE du modèle principal. Cas = diagnostiquée, Témoin = non diagnostiquée. Le formulaire en ligne renvoie Oui/Non : à normaliser en Cas/Témoin (C-13). Détermine aussi l'affichage de Q4.</t>
        </is>
      </c>
      <c r="M6" s="47" t="inlineStr">
        <is>
          <t>new_1781699356749</t>
        </is>
      </c>
      <c r="N6" s="47" t="inlineStr">
        <is>
          <t>new_1782290411288</t>
        </is>
      </c>
    </row>
    <row r="7" ht="33.75" customHeight="1" s="33">
      <c r="A7" s="44" t="n">
        <v>4</v>
      </c>
      <c r="B7" s="44" t="inlineStr">
        <is>
          <t>Groupe &amp; identifiant</t>
        </is>
      </c>
      <c r="C7" s="45" t="inlineStr">
        <is>
          <t>Stade</t>
        </is>
      </c>
      <c r="D7" s="44" t="inlineStr">
        <is>
          <t>Stade de l'endométriose (classification rASRM)</t>
        </is>
      </c>
      <c r="E7" s="44" t="inlineStr">
        <is>
          <t>ordinal</t>
        </is>
      </c>
      <c r="F7" s="46" t="inlineStr">
        <is>
          <t>exclu</t>
        </is>
      </c>
      <c r="G7" s="44" t="inlineStr">
        <is>
          <t>Non</t>
        </is>
      </c>
      <c r="H7" s="44" t="inlineStr">
        <is>
          <t>Affichée si Q3 = Oui</t>
        </is>
      </c>
      <c r="I7" s="44" t="inlineStr">
        <is>
          <t>NA_non_applicable</t>
        </is>
      </c>
      <c r="J7" s="44" t="inlineStr">
        <is>
          <t>Regrouper I+II et III+IV si effectif &lt; 5</t>
        </is>
      </c>
      <c r="K7" s="44" t="inlineStr">
        <is>
          <t>drylab</t>
        </is>
      </c>
      <c r="L7" s="44" t="inlineStr">
        <is>
          <t>FUITE PARFAITE : n'existe que chez les Cas. Exclue du modèle principal, réservée au modèle secondaire de sévérité. « Inconnu » (diagnostiquée, stade non connu) ≠ NA_non_applicable.</t>
        </is>
      </c>
      <c r="M7" s="44" t="inlineStr">
        <is>
          <t>new_1781699469115</t>
        </is>
      </c>
      <c r="N7" s="44" t="inlineStr">
        <is>
          <t>new_1782290446973</t>
        </is>
      </c>
    </row>
    <row r="8" ht="33.75" customHeight="1" s="33">
      <c r="A8" s="41" t="n">
        <v>1</v>
      </c>
      <c r="B8" s="41" t="inlineStr">
        <is>
          <t>Démographie</t>
        </is>
      </c>
      <c r="C8" s="50" t="inlineStr">
        <is>
          <t>Tranche_age</t>
        </is>
      </c>
      <c r="D8" s="41" t="inlineStr">
        <is>
          <t>Tranche d'âge</t>
        </is>
      </c>
      <c r="E8" s="41" t="inlineStr">
        <is>
          <t>ordinal</t>
        </is>
      </c>
      <c r="F8" s="51" t="inlineStr">
        <is>
          <t>feature</t>
        </is>
      </c>
      <c r="G8" s="41" t="inlineStr">
        <is>
          <t>Oui</t>
        </is>
      </c>
      <c r="H8" s="41" t="inlineStr">
        <is>
          <t>—</t>
        </is>
      </c>
      <c r="I8" s="41" t="inlineStr">
        <is>
          <t>—</t>
        </is>
      </c>
      <c r="J8" s="41" t="inlineStr">
        <is>
          <t>Jamais l'âge exact. Fusionner &lt;20 et 20-24 si effectif &lt; 5</t>
        </is>
      </c>
      <c r="K8" s="41" t="inlineStr">
        <is>
          <t>drylab</t>
        </is>
      </c>
      <c r="L8" s="41" t="inlineStr">
        <is>
          <t>Quasi-identifiant principal. Vérifier k après croisement avec IMC_categorie et Parite.</t>
        </is>
      </c>
      <c r="M8" s="41" t="inlineStr">
        <is>
          <t>new_1781705112899</t>
        </is>
      </c>
      <c r="N8" s="41" t="inlineStr">
        <is>
          <t>new_1782289047515</t>
        </is>
      </c>
    </row>
    <row r="9" ht="33.75" customHeight="1" s="33">
      <c r="A9" s="41" t="n">
        <v>2</v>
      </c>
      <c r="B9" s="41" t="inlineStr">
        <is>
          <t>Démographie</t>
        </is>
      </c>
      <c r="C9" s="50" t="inlineStr">
        <is>
          <t>IMC_categorie</t>
        </is>
      </c>
      <c r="D9" s="41" t="inlineStr">
        <is>
          <t>Catégorie d'indice de masse corporelle</t>
        </is>
      </c>
      <c r="E9" s="41" t="inlineStr">
        <is>
          <t>ordinal</t>
        </is>
      </c>
      <c r="F9" s="51" t="inlineStr">
        <is>
          <t>feature</t>
        </is>
      </c>
      <c r="G9" s="41" t="inlineStr">
        <is>
          <t>Oui</t>
        </is>
      </c>
      <c r="H9" s="41" t="inlineStr">
        <is>
          <t>—</t>
        </is>
      </c>
      <c r="I9" s="41" t="inlineStr">
        <is>
          <t>—</t>
        </is>
      </c>
      <c r="J9" s="41" t="inlineStr">
        <is>
          <t>Jamais la valeur exacte. Fusionner Maigreur + Normal si effectif &lt; 5</t>
        </is>
      </c>
      <c r="K9" s="41" t="inlineStr">
        <is>
          <t>drylab</t>
        </is>
      </c>
      <c r="L9" s="41" t="inlineStr">
        <is>
          <t>La modalité Maigreur sera probablement rare : prévoir la fusion dès le départ.</t>
        </is>
      </c>
      <c r="M9" s="41" t="inlineStr">
        <is>
          <t>new_1782372902477</t>
        </is>
      </c>
      <c r="N9" s="41" t="inlineStr">
        <is>
          <t>new_1782372737555</t>
        </is>
      </c>
    </row>
    <row r="10" ht="33.75" customHeight="1" s="33">
      <c r="A10" s="41" t="n">
        <v>5</v>
      </c>
      <c r="B10" s="41" t="inlineStr">
        <is>
          <t>Antécédents menstruels</t>
        </is>
      </c>
      <c r="C10" s="50" t="inlineStr">
        <is>
          <t>Age_menarche</t>
        </is>
      </c>
      <c r="D10" s="41" t="inlineStr">
        <is>
          <t>Âge aux premières règles (ménarche)</t>
        </is>
      </c>
      <c r="E10" s="41" t="inlineStr">
        <is>
          <t>ordinal</t>
        </is>
      </c>
      <c r="F10" s="51" t="inlineStr">
        <is>
          <t>feature</t>
        </is>
      </c>
      <c r="G10" s="41" t="inlineStr">
        <is>
          <t>Oui</t>
        </is>
      </c>
      <c r="H10" s="41" t="inlineStr">
        <is>
          <t>—</t>
        </is>
      </c>
      <c r="I10" s="41" t="inlineStr">
        <is>
          <t>—</t>
        </is>
      </c>
      <c r="J10" s="41" t="inlineStr">
        <is>
          <t>Par tranche, jamais l'âge exact</t>
        </is>
      </c>
      <c r="K10" s="41" t="inlineStr">
        <is>
          <t>drylab</t>
        </is>
      </c>
      <c r="L10" s="41" t="inlineStr">
        <is>
          <t>« Inconnu » → NA_inconnu, ne jamais coder 0.</t>
        </is>
      </c>
      <c r="M10" s="41" t="inlineStr">
        <is>
          <t>new_1781699567647</t>
        </is>
      </c>
      <c r="N10" s="41" t="inlineStr">
        <is>
          <t>new_1781699825940</t>
        </is>
      </c>
    </row>
    <row r="11" ht="33.75" customHeight="1" s="33">
      <c r="A11" s="41" t="n">
        <v>6</v>
      </c>
      <c r="B11" s="41" t="inlineStr">
        <is>
          <t>Antécédents menstruels</t>
        </is>
      </c>
      <c r="C11" s="50" t="inlineStr">
        <is>
          <t>Longueur_cycle</t>
        </is>
      </c>
      <c r="D11" s="41" t="inlineStr">
        <is>
          <t>Longueur du cycle menstruel</t>
        </is>
      </c>
      <c r="E11" s="41" t="inlineStr">
        <is>
          <t>nominal</t>
        </is>
      </c>
      <c r="F11" s="51" t="inlineStr">
        <is>
          <t>feature</t>
        </is>
      </c>
      <c r="G11" s="41" t="inlineStr">
        <is>
          <t>Oui</t>
        </is>
      </c>
      <c r="H11" s="41" t="inlineStr">
        <is>
          <t>—</t>
        </is>
      </c>
      <c r="I11" s="41" t="inlineStr">
        <is>
          <t>—</t>
        </is>
      </c>
      <c r="J11" s="41" t="inlineStr">
        <is>
          <t>Catégorie uniquement</t>
        </is>
      </c>
      <c r="K11" s="41" t="inlineStr">
        <is>
          <t>drylab</t>
        </is>
      </c>
      <c r="L11" s="41" t="inlineStr">
        <is>
          <t>À SURVEILLER. La modalité « Irrégulier » mélange une catégorie dans une échelle de durée → traiter en nominal (one-hot), PAS en ordinal. Redondant avec Regularite_cycle : voir C-04. Variable de tête du SHAP de UK Biobank 2022.</t>
        </is>
      </c>
      <c r="M11" s="41" t="inlineStr">
        <is>
          <t>new_1782373037644</t>
        </is>
      </c>
      <c r="N11" s="41" t="inlineStr">
        <is>
          <t>new_1782289245032</t>
        </is>
      </c>
    </row>
    <row r="12" ht="33.75" customHeight="1" s="33">
      <c r="A12" s="41" t="n">
        <v>7</v>
      </c>
      <c r="B12" s="41" t="inlineStr">
        <is>
          <t>Antécédents menstruels</t>
        </is>
      </c>
      <c r="C12" s="50" t="inlineStr">
        <is>
          <t>Regularite_cycle</t>
        </is>
      </c>
      <c r="D12" s="41" t="inlineStr">
        <is>
          <t>Régularité du cycle</t>
        </is>
      </c>
      <c r="E12" s="41" t="inlineStr">
        <is>
          <t>binaire</t>
        </is>
      </c>
      <c r="F12" s="51" t="inlineStr">
        <is>
          <t>feature</t>
        </is>
      </c>
      <c r="G12" s="41" t="inlineStr">
        <is>
          <t>Oui</t>
        </is>
      </c>
      <c r="H12" s="41" t="inlineStr">
        <is>
          <t>—</t>
        </is>
      </c>
      <c r="I12" s="41" t="inlineStr">
        <is>
          <t>—</t>
        </is>
      </c>
      <c r="J12" s="41" t="inlineStr">
        <is>
          <t>—</t>
        </is>
      </c>
      <c r="K12" s="41" t="inlineStr">
        <is>
          <t>drylab</t>
        </is>
      </c>
      <c r="L12" s="41" t="inlineStr">
        <is>
          <t>Fortement corrélé à Longueur_cycle. En régression, n'en garder qu'un des deux.</t>
        </is>
      </c>
      <c r="M12" s="41" t="inlineStr">
        <is>
          <t>new_1781699887571</t>
        </is>
      </c>
      <c r="N12" s="41" t="inlineStr">
        <is>
          <t>new_1781699952531</t>
        </is>
      </c>
    </row>
    <row r="13" ht="33.75" customHeight="1" s="33">
      <c r="A13" s="41" t="n">
        <v>8</v>
      </c>
      <c r="B13" s="41" t="inlineStr">
        <is>
          <t>Antécédents menstruels</t>
        </is>
      </c>
      <c r="C13" s="50" t="inlineStr">
        <is>
          <t>Abondance_regles</t>
        </is>
      </c>
      <c r="D13" s="41" t="inlineStr">
        <is>
          <t>Abondance des règles</t>
        </is>
      </c>
      <c r="E13" s="41" t="inlineStr">
        <is>
          <t>ordinal</t>
        </is>
      </c>
      <c r="F13" s="51" t="inlineStr">
        <is>
          <t>feature</t>
        </is>
      </c>
      <c r="G13" s="41" t="inlineStr">
        <is>
          <t>Oui</t>
        </is>
      </c>
      <c r="H13" s="41" t="inlineStr">
        <is>
          <t>—</t>
        </is>
      </c>
      <c r="I13" s="41" t="inlineStr">
        <is>
          <t>—</t>
        </is>
      </c>
      <c r="J13" s="41" t="inlineStr">
        <is>
          <t>—</t>
        </is>
      </c>
      <c r="K13" s="41" t="inlineStr">
        <is>
          <t>drylab</t>
        </is>
      </c>
      <c r="L13" s="41" t="n"/>
      <c r="M13" s="41" t="inlineStr">
        <is>
          <t>new_1781699976789</t>
        </is>
      </c>
      <c r="N13" s="41" t="inlineStr">
        <is>
          <t>new_1781699981158</t>
        </is>
      </c>
    </row>
    <row r="14" ht="33.75" customHeight="1" s="33">
      <c r="A14" s="41" t="n">
        <v>9</v>
      </c>
      <c r="B14" s="41" t="inlineStr">
        <is>
          <t>Antécédents menstruels</t>
        </is>
      </c>
      <c r="C14" s="50" t="inlineStr">
        <is>
          <t>Duree_regles</t>
        </is>
      </c>
      <c r="D14" s="41" t="inlineStr">
        <is>
          <t>Durée des règles</t>
        </is>
      </c>
      <c r="E14" s="41" t="inlineStr">
        <is>
          <t>ordinal</t>
        </is>
      </c>
      <c r="F14" s="51" t="inlineStr">
        <is>
          <t>feature</t>
        </is>
      </c>
      <c r="G14" s="41" t="inlineStr">
        <is>
          <t>Oui</t>
        </is>
      </c>
      <c r="H14" s="41" t="inlineStr">
        <is>
          <t>—</t>
        </is>
      </c>
      <c r="I14" s="41" t="inlineStr">
        <is>
          <t>—</t>
        </is>
      </c>
      <c r="J14" s="41" t="inlineStr">
        <is>
          <t>Catégorie uniquement</t>
        </is>
      </c>
      <c r="K14" s="41" t="inlineStr">
        <is>
          <t>drylab</t>
        </is>
      </c>
      <c r="L14" s="41" t="n"/>
      <c r="M14" s="41" t="inlineStr">
        <is>
          <t>new_1781700053033</t>
        </is>
      </c>
      <c r="N14" s="41" t="inlineStr">
        <is>
          <t>new_1781700010641</t>
        </is>
      </c>
    </row>
    <row r="15" ht="33.75" customHeight="1" s="33">
      <c r="A15" s="41" t="n">
        <v>10</v>
      </c>
      <c r="B15" s="41" t="inlineStr">
        <is>
          <t>Douleurs et symptômes</t>
        </is>
      </c>
      <c r="C15" s="50" t="inlineStr">
        <is>
          <t>Dysmenorrhee</t>
        </is>
      </c>
      <c r="D15" s="41" t="inlineStr">
        <is>
          <t>Dysménorrhée (douleurs de règles)</t>
        </is>
      </c>
      <c r="E15" s="41" t="inlineStr">
        <is>
          <t>ordinal</t>
        </is>
      </c>
      <c r="F15" s="51" t="inlineStr">
        <is>
          <t>feature</t>
        </is>
      </c>
      <c r="G15" s="41" t="inlineStr">
        <is>
          <t>Oui</t>
        </is>
      </c>
      <c r="H15" s="41" t="inlineStr">
        <is>
          <t>—</t>
        </is>
      </c>
      <c r="I15" s="41" t="inlineStr">
        <is>
          <t>—</t>
        </is>
      </c>
      <c r="J15" s="41" t="inlineStr">
        <is>
          <t>Échelle catégorielle, pas de texte libre</t>
        </is>
      </c>
      <c r="K15" s="41" t="inlineStr">
        <is>
          <t>drylab</t>
        </is>
      </c>
      <c r="L15" s="41" t="inlineStr">
        <is>
          <t>Prédicteur le plus fort attendu. Déclenche aussi l'affichage de la question HP (hors périmètre).</t>
        </is>
      </c>
      <c r="M15" s="41" t="inlineStr">
        <is>
          <t>new_1781700134202</t>
        </is>
      </c>
      <c r="N15" s="41" t="inlineStr">
        <is>
          <t>new_1782290614229</t>
        </is>
      </c>
    </row>
    <row r="16" ht="33.75" customHeight="1" s="33">
      <c r="A16" s="41" t="n">
        <v>11</v>
      </c>
      <c r="B16" s="41" t="inlineStr">
        <is>
          <t>Douleurs et symptômes</t>
        </is>
      </c>
      <c r="C16" s="50" t="inlineStr">
        <is>
          <t>Douleur_pelvienne</t>
        </is>
      </c>
      <c r="D16" s="41" t="inlineStr">
        <is>
          <t>Douleur pelvienne chronique</t>
        </is>
      </c>
      <c r="E16" s="41" t="inlineStr">
        <is>
          <t>ordinal</t>
        </is>
      </c>
      <c r="F16" s="51" t="inlineStr">
        <is>
          <t>feature</t>
        </is>
      </c>
      <c r="G16" s="41" t="inlineStr">
        <is>
          <t>Oui</t>
        </is>
      </c>
      <c r="H16" s="41" t="inlineStr">
        <is>
          <t>—</t>
        </is>
      </c>
      <c r="I16" s="41" t="inlineStr">
        <is>
          <t>—</t>
        </is>
      </c>
      <c r="J16" s="41" t="inlineStr">
        <is>
          <t>Échelle catégorielle</t>
        </is>
      </c>
      <c r="K16" s="41" t="inlineStr">
        <is>
          <t>drylab</t>
        </is>
      </c>
      <c r="L16" s="41" t="inlineStr">
        <is>
          <t>Le libellé de la 1ʳᵉ modalité est « Aucune » (le formulaire) et non « Non » (v1) : voir alias.</t>
        </is>
      </c>
      <c r="M16" s="41" t="inlineStr">
        <is>
          <t>new_1781700205191</t>
        </is>
      </c>
      <c r="N16" s="41" t="inlineStr">
        <is>
          <t>new_1782290651247</t>
        </is>
      </c>
    </row>
    <row r="17" ht="33.75" customHeight="1" s="33">
      <c r="A17" s="41" t="n">
        <v>12</v>
      </c>
      <c r="B17" s="41" t="inlineStr">
        <is>
          <t>Douleurs et symptômes</t>
        </is>
      </c>
      <c r="C17" s="50" t="inlineStr">
        <is>
          <t>Dyspareunie</t>
        </is>
      </c>
      <c r="D17" s="41" t="inlineStr">
        <is>
          <t>Douleur pendant les rapports</t>
        </is>
      </c>
      <c r="E17" s="41" t="inlineStr">
        <is>
          <t>binaire</t>
        </is>
      </c>
      <c r="F17" s="51" t="inlineStr">
        <is>
          <t>feature</t>
        </is>
      </c>
      <c r="G17" s="41" t="inlineStr">
        <is>
          <t>Oui</t>
        </is>
      </c>
      <c r="H17" s="41" t="inlineStr">
        <is>
          <t>—</t>
        </is>
      </c>
      <c r="I17" s="41" t="inlineStr">
        <is>
          <t>—</t>
        </is>
      </c>
      <c r="J17" s="41" t="inlineStr">
        <is>
          <t>—</t>
        </is>
      </c>
      <c r="K17" s="41" t="inlineStr">
        <is>
          <t>drylab</t>
        </is>
      </c>
      <c r="L17" s="41" t="inlineStr">
        <is>
          <t>« Non renseigné » → NA_non_renseigne. Taux de non-réponse à surveiller (question intime).</t>
        </is>
      </c>
      <c r="M17" s="41" t="inlineStr">
        <is>
          <t>new_1781700318066</t>
        </is>
      </c>
      <c r="N17" s="41" t="inlineStr">
        <is>
          <t>new_1782290725552</t>
        </is>
      </c>
    </row>
    <row r="18" ht="33.75" customHeight="1" s="33">
      <c r="A18" s="41" t="n">
        <v>13</v>
      </c>
      <c r="B18" s="41" t="inlineStr">
        <is>
          <t>Douleurs et symptômes</t>
        </is>
      </c>
      <c r="C18" s="50" t="inlineStr">
        <is>
          <t>Dyschesie</t>
        </is>
      </c>
      <c r="D18" s="41" t="inlineStr">
        <is>
          <t>Douleurs à la défécation pendant les règles</t>
        </is>
      </c>
      <c r="E18" s="41" t="inlineStr">
        <is>
          <t>binaire</t>
        </is>
      </c>
      <c r="F18" s="51" t="inlineStr">
        <is>
          <t>feature</t>
        </is>
      </c>
      <c r="G18" s="41" t="inlineStr">
        <is>
          <t>Oui</t>
        </is>
      </c>
      <c r="H18" s="41" t="inlineStr">
        <is>
          <t>—</t>
        </is>
      </c>
      <c r="I18" s="41" t="inlineStr">
        <is>
          <t>—</t>
        </is>
      </c>
      <c r="J18" s="41" t="inlineStr">
        <is>
          <t>—</t>
        </is>
      </c>
      <c r="K18" s="41" t="inlineStr">
        <is>
          <t>drylab</t>
        </is>
      </c>
      <c r="L18" s="41" t="n"/>
      <c r="M18" s="41" t="inlineStr">
        <is>
          <t>new_1781700371484</t>
        </is>
      </c>
      <c r="N18" s="41" t="inlineStr">
        <is>
          <t>new_1782290756118</t>
        </is>
      </c>
    </row>
    <row r="19" ht="33.75" customHeight="1" s="33">
      <c r="A19" s="41" t="n">
        <v>14</v>
      </c>
      <c r="B19" s="41" t="inlineStr">
        <is>
          <t>Douleurs et symptômes</t>
        </is>
      </c>
      <c r="C19" s="50" t="inlineStr">
        <is>
          <t>Symptomes_cycliques</t>
        </is>
      </c>
      <c r="D19" s="41" t="inlineStr">
        <is>
          <t>Symptômes urinaires ou digestifs cycliques</t>
        </is>
      </c>
      <c r="E19" s="41" t="inlineStr">
        <is>
          <t>binaire</t>
        </is>
      </c>
      <c r="F19" s="51" t="inlineStr">
        <is>
          <t>feature</t>
        </is>
      </c>
      <c r="G19" s="41" t="inlineStr">
        <is>
          <t>Oui</t>
        </is>
      </c>
      <c r="H19" s="41" t="inlineStr">
        <is>
          <t>—</t>
        </is>
      </c>
      <c r="I19" s="41" t="inlineStr">
        <is>
          <t>—</t>
        </is>
      </c>
      <c r="J19" s="41" t="inlineStr">
        <is>
          <t>—</t>
        </is>
      </c>
      <c r="K19" s="41" t="inlineStr">
        <is>
          <t>drylab</t>
        </is>
      </c>
      <c r="L19" s="41" t="n"/>
      <c r="M19" s="41" t="inlineStr">
        <is>
          <t>new_1781700439041</t>
        </is>
      </c>
      <c r="N19" s="41" t="inlineStr">
        <is>
          <t>new_1782290787422</t>
        </is>
      </c>
    </row>
    <row r="20" ht="33.75" customHeight="1" s="33">
      <c r="A20" s="41" t="n">
        <v>15</v>
      </c>
      <c r="B20" s="41" t="inlineStr">
        <is>
          <t>Douleurs et symptômes</t>
        </is>
      </c>
      <c r="C20" s="50" t="inlineStr">
        <is>
          <t>Age_apparition_symptomes</t>
        </is>
      </c>
      <c r="D20" s="41" t="inlineStr">
        <is>
          <t>Âge d'apparition des premiers symptômes</t>
        </is>
      </c>
      <c r="E20" s="41" t="inlineStr">
        <is>
          <t>ordinal</t>
        </is>
      </c>
      <c r="F20" s="51" t="inlineStr">
        <is>
          <t>feature</t>
        </is>
      </c>
      <c r="G20" s="41" t="inlineStr">
        <is>
          <t>Oui</t>
        </is>
      </c>
      <c r="H20" s="41" t="inlineStr">
        <is>
          <t>—</t>
        </is>
      </c>
      <c r="I20" s="41" t="inlineStr">
        <is>
          <t>—</t>
        </is>
      </c>
      <c r="J20" s="41" t="inlineStr">
        <is>
          <t>Par tranche</t>
        </is>
      </c>
      <c r="K20" s="41" t="inlineStr">
        <is>
          <t>drylab</t>
        </is>
      </c>
      <c r="L20" s="41" t="inlineStr">
        <is>
          <t>À SURVEILLER. « Non concernée » = aucun symptôme : modalité à part entière, PAS un NA. Ce n'est pas une fuite (un témoin peut légitimement être asymptomatique) mais la répartition sera très asymétrique entre les deux groupes.</t>
        </is>
      </c>
      <c r="M20" s="41" t="inlineStr">
        <is>
          <t>new_1781700879067</t>
        </is>
      </c>
      <c r="N20" s="41" t="inlineStr">
        <is>
          <t>new_1782290821807</t>
        </is>
      </c>
    </row>
    <row r="21" ht="33.75" customHeight="1" s="33">
      <c r="A21" s="44" t="n">
        <v>16</v>
      </c>
      <c r="B21" s="44" t="inlineStr">
        <is>
          <t>Douleurs et symptômes</t>
        </is>
      </c>
      <c r="C21" s="45" t="inlineStr">
        <is>
          <t>Delai_diagnostic</t>
        </is>
      </c>
      <c r="D21" s="44" t="inlineStr">
        <is>
          <t>Délai entre premiers symptômes et diagnostic</t>
        </is>
      </c>
      <c r="E21" s="44" t="inlineStr">
        <is>
          <t>ordinal</t>
        </is>
      </c>
      <c r="F21" s="46" t="inlineStr">
        <is>
          <t>exclu</t>
        </is>
      </c>
      <c r="G21" s="44" t="inlineStr">
        <is>
          <t>Oui</t>
        </is>
      </c>
      <c r="H21" s="44" t="inlineStr">
        <is>
          <t>—</t>
        </is>
      </c>
      <c r="I21" s="44" t="inlineStr">
        <is>
          <t>—</t>
        </is>
      </c>
      <c r="J21" s="44" t="inlineStr">
        <is>
          <t>Regrouper 6-10 ans et &gt;10 ans si effectif &lt; 5</t>
        </is>
      </c>
      <c r="K21" s="44" t="inlineStr">
        <is>
          <t>drylab</t>
        </is>
      </c>
      <c r="L21" s="44" t="inlineStr">
        <is>
          <t>FUITE : un délai renseigné implique un diagnostic, donc la cible. Exclue de X sous peine d'une AUC artificiellement proche de 1. C'est en revanche la variable à expliquer du 2ᵉ modèle « qui est diagnostiquée tardivement » (angle n°4 du briefing).</t>
        </is>
      </c>
      <c r="M21" s="44" t="inlineStr">
        <is>
          <t>new_1781700634795</t>
        </is>
      </c>
      <c r="N21" s="44" t="inlineStr">
        <is>
          <t>new_1782290921779</t>
        </is>
      </c>
    </row>
    <row r="22" ht="33.75" customHeight="1" s="33">
      <c r="A22" s="41" t="n">
        <v>17</v>
      </c>
      <c r="B22" s="41" t="inlineStr">
        <is>
          <t>Antécédents reproductifs</t>
        </is>
      </c>
      <c r="C22" s="50" t="inlineStr">
        <is>
          <t>Parite</t>
        </is>
      </c>
      <c r="D22" s="41" t="inlineStr">
        <is>
          <t>Nombre de grossesses menées à terme (parité)</t>
        </is>
      </c>
      <c r="E22" s="41" t="inlineStr">
        <is>
          <t>ordinal</t>
        </is>
      </c>
      <c r="F22" s="51" t="inlineStr">
        <is>
          <t>feature</t>
        </is>
      </c>
      <c r="G22" s="41" t="inlineStr">
        <is>
          <t>Oui</t>
        </is>
      </c>
      <c r="H22" s="41" t="inlineStr">
        <is>
          <t>—</t>
        </is>
      </c>
      <c r="I22" s="41" t="inlineStr">
        <is>
          <t>—</t>
        </is>
      </c>
      <c r="J22" s="41" t="inlineStr">
        <is>
          <t>Déjà plafonné à ≥3</t>
        </is>
      </c>
      <c r="K22" s="41" t="inlineStr">
        <is>
          <t>drylab</t>
        </is>
      </c>
      <c r="L22" s="41" t="inlineStr">
        <is>
          <t>Quasi-identifiant. Croiser avec Tranche_age pour le contrôle de k.</t>
        </is>
      </c>
      <c r="M22" s="41" t="inlineStr">
        <is>
          <t>new_1781701133129</t>
        </is>
      </c>
      <c r="N22" s="41" t="inlineStr">
        <is>
          <t>new_1781700376508</t>
        </is>
      </c>
    </row>
    <row r="23" ht="33.75" customHeight="1" s="33">
      <c r="A23" s="41" t="n">
        <v>18</v>
      </c>
      <c r="B23" s="41" t="inlineStr">
        <is>
          <t>Antécédents reproductifs</t>
        </is>
      </c>
      <c r="C23" s="50" t="inlineStr">
        <is>
          <t>Infertilite</t>
        </is>
      </c>
      <c r="D23" s="41" t="inlineStr">
        <is>
          <t>Antécédent d'infertilité</t>
        </is>
      </c>
      <c r="E23" s="41" t="inlineStr">
        <is>
          <t>binaire</t>
        </is>
      </c>
      <c r="F23" s="51" t="inlineStr">
        <is>
          <t>feature</t>
        </is>
      </c>
      <c r="G23" s="41" t="inlineStr">
        <is>
          <t>Oui</t>
        </is>
      </c>
      <c r="H23" s="41" t="inlineStr">
        <is>
          <t>—</t>
        </is>
      </c>
      <c r="I23" s="41" t="inlineStr">
        <is>
          <t>—</t>
        </is>
      </c>
      <c r="J23" s="41" t="inlineStr">
        <is>
          <t>—</t>
        </is>
      </c>
      <c r="K23" s="41" t="inlineStr">
        <is>
          <t>drylab</t>
        </is>
      </c>
      <c r="L23" s="41" t="inlineStr">
        <is>
          <t>Prédicteur retenu par l'étude comorbidités 2023.</t>
        </is>
      </c>
      <c r="M23" s="41" t="inlineStr">
        <is>
          <t>new_1781701322191</t>
        </is>
      </c>
      <c r="N23" s="41" t="inlineStr">
        <is>
          <t>new_1781700404630</t>
        </is>
      </c>
    </row>
    <row r="24" ht="33.75" customHeight="1" s="33">
      <c r="A24" s="41" t="n">
        <v>19</v>
      </c>
      <c r="B24" s="41" t="inlineStr">
        <is>
          <t>Antécédents reproductifs</t>
        </is>
      </c>
      <c r="C24" s="50" t="inlineStr">
        <is>
          <t>Contraception_hormonale</t>
        </is>
      </c>
      <c r="D24" s="41" t="inlineStr">
        <is>
          <t>Utilisation de contraception hormonale</t>
        </is>
      </c>
      <c r="E24" s="41" t="inlineStr">
        <is>
          <t>nominal</t>
        </is>
      </c>
      <c r="F24" s="51" t="inlineStr">
        <is>
          <t>feature</t>
        </is>
      </c>
      <c r="G24" s="41" t="inlineStr">
        <is>
          <t>Oui</t>
        </is>
      </c>
      <c r="H24" s="41" t="inlineStr">
        <is>
          <t>—</t>
        </is>
      </c>
      <c r="I24" s="41" t="inlineStr">
        <is>
          <t>—</t>
        </is>
      </c>
      <c r="J24" s="41" t="inlineStr">
        <is>
          <t>—</t>
        </is>
      </c>
      <c r="K24" s="41" t="inlineStr">
        <is>
          <t>drylab</t>
        </is>
      </c>
      <c r="L24" s="41" t="inlineStr">
        <is>
          <t>Causalité inverse possible : une contraception « Actuelle » peut être un traitement de l'endométriose, pas un facteur de risque. À mentionner en discussion.</t>
        </is>
      </c>
      <c r="M24" s="41" t="inlineStr">
        <is>
          <t>new_1781701398571</t>
        </is>
      </c>
      <c r="N24" s="41" t="inlineStr">
        <is>
          <t>new_1781700439707</t>
        </is>
      </c>
    </row>
    <row r="25" ht="33.75" customHeight="1" s="33">
      <c r="A25" s="41" t="n">
        <v>20</v>
      </c>
      <c r="B25" s="41" t="inlineStr">
        <is>
          <t>Antécédents familiaux et mode de vie</t>
        </is>
      </c>
      <c r="C25" s="50" t="inlineStr">
        <is>
          <t>Antecedent_familial</t>
        </is>
      </c>
      <c r="D25" s="41" t="inlineStr">
        <is>
          <t>Antécédent familial d'endométriose (1er degré)</t>
        </is>
      </c>
      <c r="E25" s="41" t="inlineStr">
        <is>
          <t>binaire</t>
        </is>
      </c>
      <c r="F25" s="51" t="inlineStr">
        <is>
          <t>feature</t>
        </is>
      </c>
      <c r="G25" s="41" t="inlineStr">
        <is>
          <t>Oui</t>
        </is>
      </c>
      <c r="H25" s="41" t="inlineStr">
        <is>
          <t>—</t>
        </is>
      </c>
      <c r="I25" s="41" t="inlineStr">
        <is>
          <t>—</t>
        </is>
      </c>
      <c r="J25" s="41" t="inlineStr">
        <is>
          <t>—</t>
        </is>
      </c>
      <c r="K25" s="41" t="inlineStr">
        <is>
          <t>drylab</t>
        </is>
      </c>
      <c r="L25" s="41" t="inlineStr">
        <is>
          <t>Facteur de risque héréditaire important. « Inconnu » → NA_inconnu, à conserver comme modalité : l'ignorance du statut familial est elle-même informative.</t>
        </is>
      </c>
      <c r="M25" s="41" t="inlineStr">
        <is>
          <t>new_1781701463483</t>
        </is>
      </c>
      <c r="N25" s="41" t="inlineStr">
        <is>
          <t>new_1781700473660</t>
        </is>
      </c>
    </row>
    <row r="26" ht="33.75" customHeight="1" s="33">
      <c r="A26" s="41" t="n">
        <v>21</v>
      </c>
      <c r="B26" s="41" t="inlineStr">
        <is>
          <t>Antécédents familiaux et mode de vie</t>
        </is>
      </c>
      <c r="C26" s="50" t="inlineStr">
        <is>
          <t>Tabagisme</t>
        </is>
      </c>
      <c r="D26" s="41" t="inlineStr">
        <is>
          <t>Tabagisme</t>
        </is>
      </c>
      <c r="E26" s="41" t="inlineStr">
        <is>
          <t>nominal</t>
        </is>
      </c>
      <c r="F26" s="51" t="inlineStr">
        <is>
          <t>feature</t>
        </is>
      </c>
      <c r="G26" s="41" t="inlineStr">
        <is>
          <t>Oui</t>
        </is>
      </c>
      <c r="H26" s="41" t="inlineStr">
        <is>
          <t>—</t>
        </is>
      </c>
      <c r="I26" s="41" t="inlineStr">
        <is>
          <t>—</t>
        </is>
      </c>
      <c r="J26" s="41" t="inlineStr">
        <is>
          <t>—</t>
        </is>
      </c>
      <c r="K26" s="41" t="inlineStr">
        <is>
          <t>drylab</t>
        </is>
      </c>
      <c r="L26" s="41" t="n"/>
      <c r="M26" s="41" t="inlineStr">
        <is>
          <t>new_1781701540793</t>
        </is>
      </c>
      <c r="N26" s="41" t="inlineStr">
        <is>
          <t>new_1781700508609</t>
        </is>
      </c>
    </row>
    <row r="27" ht="33.75" customHeight="1" s="33">
      <c r="A27" s="41" t="n">
        <v>22</v>
      </c>
      <c r="B27" s="41" t="inlineStr">
        <is>
          <t>Antécédents familiaux et mode de vie</t>
        </is>
      </c>
      <c r="C27" s="50" t="inlineStr">
        <is>
          <t>Activite_physique</t>
        </is>
      </c>
      <c r="D27" s="41" t="inlineStr">
        <is>
          <t>Niveau d'activité physique</t>
        </is>
      </c>
      <c r="E27" s="41" t="inlineStr">
        <is>
          <t>ordinal</t>
        </is>
      </c>
      <c r="F27" s="51" t="inlineStr">
        <is>
          <t>feature</t>
        </is>
      </c>
      <c r="G27" s="41" t="inlineStr">
        <is>
          <t>Oui</t>
        </is>
      </c>
      <c r="H27" s="41" t="inlineStr">
        <is>
          <t>—</t>
        </is>
      </c>
      <c r="I27" s="41" t="inlineStr">
        <is>
          <t>—</t>
        </is>
      </c>
      <c r="J27" s="41" t="inlineStr">
        <is>
          <t>—</t>
        </is>
      </c>
      <c r="K27" s="41" t="inlineStr">
        <is>
          <t>drylab</t>
        </is>
      </c>
      <c r="L27" s="41" t="inlineStr">
        <is>
          <t>Libellés au masculin dans le formulaire (Modéré / Élevé), au féminin en v1 : voir alias. Auto-déclaré donc bruité, ne pas surinterpréter.</t>
        </is>
      </c>
      <c r="M27" s="41" t="inlineStr">
        <is>
          <t>new_1781701620223</t>
        </is>
      </c>
      <c r="N27" s="41" t="inlineStr">
        <is>
          <t>new_1781700546018</t>
        </is>
      </c>
    </row>
    <row r="28" ht="33.75" customHeight="1" s="33">
      <c r="A28" s="41" t="n">
        <v>23</v>
      </c>
      <c r="B28" s="41" t="inlineStr">
        <is>
          <t>Antécédents familiaux et mode de vie</t>
        </is>
      </c>
      <c r="C28" s="50" t="inlineStr">
        <is>
          <t>Consommation_alcool</t>
        </is>
      </c>
      <c r="D28" s="41" t="inlineStr">
        <is>
          <t>Consommation d'alcool</t>
        </is>
      </c>
      <c r="E28" s="41" t="inlineStr">
        <is>
          <t>ordinal</t>
        </is>
      </c>
      <c r="F28" s="51" t="inlineStr">
        <is>
          <t>feature</t>
        </is>
      </c>
      <c r="G28" s="41" t="inlineStr">
        <is>
          <t>Oui</t>
        </is>
      </c>
      <c r="H28" s="41" t="inlineStr">
        <is>
          <t>—</t>
        </is>
      </c>
      <c r="I28" s="41" t="inlineStr">
        <is>
          <t>—</t>
        </is>
      </c>
      <c r="J28" s="41" t="inlineStr">
        <is>
          <t>—</t>
        </is>
      </c>
      <c r="K28" s="41" t="inlineStr">
        <is>
          <t>drylab</t>
        </is>
      </c>
      <c r="L28" s="41" t="inlineStr">
        <is>
          <t>1ʳᵉ modalité « Jamais » (le formulaire) et non « Non » (v1) : voir alias.</t>
        </is>
      </c>
      <c r="M28" s="41" t="inlineStr">
        <is>
          <t>new_1781701683908</t>
        </is>
      </c>
      <c r="N28" s="41" t="inlineStr">
        <is>
          <t>new_1781700578400</t>
        </is>
      </c>
    </row>
    <row r="29" ht="33.75" customHeight="1" s="33">
      <c r="A29" s="41" t="n">
        <v>24</v>
      </c>
      <c r="B29" s="41" t="inlineStr">
        <is>
          <t>Comorbidités</t>
        </is>
      </c>
      <c r="C29" s="50" t="inlineStr">
        <is>
          <t>SII</t>
        </is>
      </c>
      <c r="D29" s="41" t="inlineStr">
        <is>
          <t>Syndrome de l'intestin irritable</t>
        </is>
      </c>
      <c r="E29" s="41" t="inlineStr">
        <is>
          <t>binaire</t>
        </is>
      </c>
      <c r="F29" s="51" t="inlineStr">
        <is>
          <t>feature</t>
        </is>
      </c>
      <c r="G29" s="41" t="inlineStr">
        <is>
          <t>Oui</t>
        </is>
      </c>
      <c r="H29" s="41" t="inlineStr">
        <is>
          <t>—</t>
        </is>
      </c>
      <c r="I29" s="41" t="inlineStr">
        <is>
          <t>—</t>
        </is>
      </c>
      <c r="J29" s="41" t="inlineStr">
        <is>
          <t>—</t>
        </is>
      </c>
      <c r="K29" s="41" t="inlineStr">
        <is>
          <t>drylab</t>
        </is>
      </c>
      <c r="L29" s="41" t="inlineStr">
        <is>
          <t>Variable n°1 du SHAP de UK Biobank 2022. À suivre de près dans l'interprétation. Passée de « facultatif » (v1) à obligatoire : elle est posée à toutes dans le formulaire.</t>
        </is>
      </c>
      <c r="M29" s="41" t="inlineStr">
        <is>
          <t>new_1781701792335</t>
        </is>
      </c>
      <c r="N29" s="41" t="inlineStr">
        <is>
          <t>new_1781700613643</t>
        </is>
      </c>
    </row>
    <row r="30" ht="33.75" customHeight="1" s="33">
      <c r="A30" s="41" t="n">
        <v>25</v>
      </c>
      <c r="B30" s="41" t="inlineStr">
        <is>
          <t>Comorbidités</t>
        </is>
      </c>
      <c r="C30" s="50" t="inlineStr">
        <is>
          <t>Maladie_auto_immune</t>
        </is>
      </c>
      <c r="D30" s="41" t="inlineStr">
        <is>
          <t>Autre maladie auto-immune ou inflammatoire</t>
        </is>
      </c>
      <c r="E30" s="41" t="inlineStr">
        <is>
          <t>binaire</t>
        </is>
      </c>
      <c r="F30" s="51" t="inlineStr">
        <is>
          <t>feature</t>
        </is>
      </c>
      <c r="G30" s="41" t="inlineStr">
        <is>
          <t>Oui</t>
        </is>
      </c>
      <c r="H30" s="41" t="inlineStr">
        <is>
          <t>—</t>
        </is>
      </c>
      <c r="I30" s="41" t="inlineStr">
        <is>
          <t>—</t>
        </is>
      </c>
      <c r="J30" s="41" t="inlineStr">
        <is>
          <t>—</t>
        </is>
      </c>
      <c r="K30" s="41" t="inlineStr">
        <is>
          <t>drylab</t>
        </is>
      </c>
      <c r="L30" s="41" t="inlineStr">
        <is>
          <t>Idem : obligatoire dans le formulaire.</t>
        </is>
      </c>
      <c r="M30" s="41" t="inlineStr">
        <is>
          <t>new_1781701872218</t>
        </is>
      </c>
      <c r="N30" s="41" t="inlineStr">
        <is>
          <t>new_1781700648934</t>
        </is>
      </c>
    </row>
    <row r="31">
      <c r="A31" s="41" t="inlineStr">
        <is>
          <t>—</t>
        </is>
      </c>
      <c r="B31" s="41" t="inlineStr">
        <is>
          <t>Métadonnées de collecte</t>
        </is>
      </c>
      <c r="C31" s="50" t="inlineStr">
        <is>
          <t>Source_canal</t>
        </is>
      </c>
      <c r="D31" s="41" t="inlineStr">
        <is>
          <t>Canal de recrutement — formulaire cloné par lequel la répondante est arrivée</t>
        </is>
      </c>
      <c r="E31" s="41" t="inlineStr">
        <is>
          <t>nominal</t>
        </is>
      </c>
      <c r="F31" s="51" t="inlineStr">
        <is>
          <t>exclu</t>
        </is>
      </c>
      <c r="G31" s="41" t="inlineStr">
        <is>
          <t>Oui</t>
        </is>
      </c>
      <c r="H31" s="41" t="inlineStr">
        <is>
          <t>—</t>
        </is>
      </c>
      <c r="I31" s="41" t="inlineStr">
        <is>
          <t>inconnu</t>
        </is>
      </c>
      <c r="J31" s="41" t="inlineStr">
        <is>
          <t>Ne jamais diffuser croisée avec Groupe : le couple réidentifie le canal associatif.</t>
        </is>
      </c>
      <c r="K31" s="41" t="inlineStr">
        <is>
          <t>drylab</t>
        </is>
      </c>
      <c r="L31" s="41" t="inlineStr">
        <is>
          <t>MÉTADONNÉE, PAS UNE FEATURE. Renseignée par ingest.py d'après le fichier source, jamais saisie par la répondante. FUITE DE RECRUTEMENT : les Cas viennent des associations, les Témoins des réseaux sociaux — dans X elle prédirait la cible presque parfaitement. INDISPENSABLE hors de X : variable de stratification de l'analyse de sensibilité. « inconnu » = lien 989 initial, canal non traçable (154 réponses concernées).</t>
        </is>
      </c>
      <c r="M31" s="41" t="inlineStr">
        <is>
          <t>—</t>
        </is>
      </c>
      <c r="N31" s="41" t="inlineStr">
        <is>
          <t>—</t>
        </is>
      </c>
    </row>
    <row r="32" ht="15" customHeight="1" s="33">
      <c r="A32" s="41" t="inlineStr">
        <is>
          <t>—</t>
        </is>
      </c>
      <c r="B32" s="41" t="inlineStr">
        <is>
          <t>Métadonnées de collecte</t>
        </is>
      </c>
      <c r="C32" s="50" t="inlineStr">
        <is>
          <t>Langue_formulaire</t>
        </is>
      </c>
      <c r="D32" s="41" t="inlineStr">
        <is>
          <t>Version linguistique du formulaire rempli</t>
        </is>
      </c>
      <c r="E32" s="41" t="inlineStr">
        <is>
          <t>nominal</t>
        </is>
      </c>
      <c r="F32" s="51" t="inlineStr">
        <is>
          <t>exclu</t>
        </is>
      </c>
      <c r="G32" s="41" t="inlineStr">
        <is>
          <t>Oui</t>
        </is>
      </c>
      <c r="H32" s="41" t="inlineStr">
        <is>
          <t>—</t>
        </is>
      </c>
      <c r="I32" s="41" t="inlineStr">
        <is>
          <t>fr</t>
        </is>
      </c>
      <c r="J32" s="41" t="inlineStr">
        <is>
          <t>Aucune (métadonnée technique).</t>
        </is>
      </c>
      <c r="K32" s="41" t="inlineStr">
        <is>
          <t>drylab</t>
        </is>
      </c>
      <c r="L32" s="41" t="inlineStr">
        <is>
          <t>MÉTADONNÉE, PAS UNE FEATURE. Dimension distincte de Source_canal : le canal dit QUI a recruté, la langue dit QUEL formulaire a été rempli. Séparées pour permettre C-15 : une échelle de sévérité traduite ne garantit pas le même seuil chez la répondante (« Severe » ≠ « Sévère » a priori). Effectif EN probablement trop faible pour un test : dans ce cas, documenter en limite plutôt que supposer l'équivalence.</t>
        </is>
      </c>
      <c r="M32" s="41" t="inlineStr">
        <is>
          <t>—</t>
        </is>
      </c>
      <c r="N32" s="41" t="inlineStr">
        <is>
          <t>—</t>
        </is>
      </c>
    </row>
    <row r="33" ht="15" customHeight="1" s="33"/>
    <row r="34" ht="15" customHeight="1" s="33">
      <c r="A34" s="52" t="inlineStr">
        <is>
          <t>Récapitulatif</t>
        </is>
      </c>
    </row>
    <row r="35" ht="15" customHeight="1" s="33">
      <c r="A35" s="53" t="inlineStr">
        <is>
          <t>Champs au dictionnaire</t>
        </is>
      </c>
      <c r="C35" s="54">
        <f>COUNTIF(F5:F32,"identifiant")+COUNTIF(F5:F32,"cible")+COUNTIF(F5:F32,"exclu")+COUNTIF(F5:F32,"feature")</f>
        <v/>
      </c>
    </row>
    <row r="36" ht="15" customHeight="1" s="33">
      <c r="A36" s="53" t="inlineStr">
        <is>
          <t>Cible (y)</t>
        </is>
      </c>
      <c r="C36" s="54">
        <f>COUNTIF(F5:F32,"cible")</f>
        <v/>
      </c>
    </row>
    <row r="37">
      <c r="A37" s="53" t="inlineStr">
        <is>
          <t>Hors X : fuite de cible + métadonnées (hors identifiant)</t>
        </is>
      </c>
      <c r="C37" s="54">
        <f>COUNTIF(F5:F32,"exclu")-1</f>
        <v/>
      </c>
    </row>
    <row r="38" ht="15" customHeight="1" s="33">
      <c r="A38" s="55" t="inlineStr">
        <is>
          <t>Features du modèle principal (X)</t>
        </is>
      </c>
      <c r="C38" s="54">
        <f>COUNTIF(F5:F32,"feature")</f>
        <v/>
      </c>
    </row>
    <row r="39" ht="60" customHeight="1" s="33"/>
    <row r="40">
      <c r="A40" s="52" t="inlineStr">
        <is>
          <t>Variables écartées</t>
        </is>
      </c>
    </row>
    <row r="41">
      <c r="A41" s="56" t="inlineStr">
        <is>
          <t>Origine_geographique</t>
        </is>
      </c>
      <c r="B41" s="57" t="inlineStr">
        <is>
          <t>Présente en v1 comme facultative. Écartée en v2 : (1) le formulaire diffusé ne la pose pas, donc elle ne sera jamais collectée ; (2) c'est un quasi-identifiant fort qui dégrade le k-anonymat ; (3) l'origine ethnique relève de l'article 9 du RGPD, ce qui contredit l'argument « données hors champ du RGPD » présenté à l'association. Décision réversible : la réintroduire supposerait de la reposer au DPO.</t>
        </is>
      </c>
    </row>
  </sheetData>
  <autoFilter ref="A4:L30"/>
  <dataValidations count="1">
    <dataValidation sqref="F5:F32" showDropDown="0" showInputMessage="0" showErrorMessage="0" allowBlank="1" type="list">
      <formula1>"identifiant,cible,feature,exclu"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0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7" customWidth="1" style="32" min="1" max="1"/>
    <col width="26" customWidth="1" style="32" min="2" max="2"/>
    <col width="19" customWidth="1" style="32" min="3" max="3"/>
    <col width="7" customWidth="1" style="32" min="4" max="4"/>
    <col width="30" customWidth="1" style="32" min="5" max="5"/>
    <col width="46" customWidth="1" style="32" min="6" max="6"/>
    <col width="24" customWidth="1" style="33" min="7" max="7"/>
  </cols>
  <sheetData>
    <row r="1" ht="17.35" customHeight="1" s="33">
      <c r="A1" s="38" t="inlineStr">
        <is>
          <t>Modalités, codage et alias</t>
        </is>
      </c>
    </row>
    <row r="2" ht="15" customHeight="1" s="33">
      <c r="A2" s="43" t="inlineStr">
        <is>
          <t>Valeur canonique = libellé du formulaire en ligne. « Alias acceptés » = écritures alternatives à normaliser en entrée (contrôle C-13). « Ordre » n'a de sens que pour les variables ordinales. NA_* = valeur manquante, jamais 0.</t>
        </is>
      </c>
    </row>
    <row r="4" ht="31.5" customHeight="1" s="33">
      <c r="A4" s="39" t="inlineStr">
        <is>
          <t>Variable</t>
        </is>
      </c>
      <c r="B4" s="39" t="inlineStr">
        <is>
          <t>Valeur canonique</t>
        </is>
      </c>
      <c r="C4" s="39" t="inlineStr">
        <is>
          <t>Code</t>
        </is>
      </c>
      <c r="D4" s="39" t="inlineStr">
        <is>
          <t>Ordre</t>
        </is>
      </c>
      <c r="E4" s="39" t="inlineStr">
        <is>
          <t>Alias acceptés</t>
        </is>
      </c>
      <c r="F4" s="39" t="inlineStr">
        <is>
          <t>Commentaire</t>
        </is>
      </c>
      <c r="G4" s="39" t="inlineStr">
        <is>
          <t>Libellé EN</t>
        </is>
      </c>
    </row>
    <row r="5" ht="15" customHeight="1" s="33">
      <c r="A5" s="40" t="inlineStr">
        <is>
          <t>Groupe</t>
        </is>
      </c>
      <c r="B5" s="58" t="inlineStr">
        <is>
          <t>Cas</t>
        </is>
      </c>
      <c r="C5" s="59" t="n">
        <v>1</v>
      </c>
      <c r="D5" s="59" t="n">
        <v>0</v>
      </c>
      <c r="E5" s="58" t="inlineStr">
        <is>
          <t>Oui | Case</t>
        </is>
      </c>
      <c r="F5" s="58" t="inlineStr">
        <is>
          <t>Le formulaire en ligne renvoie « Oui » à la question 3.</t>
        </is>
      </c>
      <c r="G5" s="58" t="inlineStr">
        <is>
          <t>Yes</t>
        </is>
      </c>
    </row>
    <row r="6" ht="15" customHeight="1" s="33">
      <c r="A6" s="58" t="inlineStr">
        <is>
          <t>Groupe</t>
        </is>
      </c>
      <c r="B6" s="58" t="inlineStr">
        <is>
          <t>Témoin</t>
        </is>
      </c>
      <c r="C6" s="59" t="n">
        <v>0</v>
      </c>
      <c r="D6" s="59" t="n">
        <v>1</v>
      </c>
      <c r="E6" s="58" t="inlineStr">
        <is>
          <t>Non | Temoin | Controle</t>
        </is>
      </c>
      <c r="F6" s="58" t="inlineStr">
        <is>
          <t>Le formulaire en ligne renvoie « Non » à la question 3.</t>
        </is>
      </c>
      <c r="G6" s="58" t="inlineStr">
        <is>
          <t>No</t>
        </is>
      </c>
    </row>
    <row r="7" ht="15" customHeight="1" s="33">
      <c r="A7" s="50" t="inlineStr">
        <is>
          <t>Stade</t>
        </is>
      </c>
      <c r="B7" s="41" t="inlineStr">
        <is>
          <t>I</t>
        </is>
      </c>
      <c r="C7" s="51" t="n">
        <v>1</v>
      </c>
      <c r="D7" s="51" t="n">
        <v>0</v>
      </c>
      <c r="E7" s="41" t="n"/>
      <c r="F7" s="41" t="n"/>
      <c r="G7" s="41" t="inlineStr">
        <is>
          <t>I</t>
        </is>
      </c>
    </row>
    <row r="8" ht="15" customHeight="1" s="33">
      <c r="A8" s="41" t="inlineStr">
        <is>
          <t>Stade</t>
        </is>
      </c>
      <c r="B8" s="41" t="inlineStr">
        <is>
          <t>II</t>
        </is>
      </c>
      <c r="C8" s="51" t="n">
        <v>2</v>
      </c>
      <c r="D8" s="51" t="n">
        <v>1</v>
      </c>
      <c r="E8" s="41" t="n"/>
      <c r="F8" s="41" t="n"/>
      <c r="G8" s="41" t="inlineStr">
        <is>
          <t>II</t>
        </is>
      </c>
    </row>
    <row r="9" ht="15" customHeight="1" s="33">
      <c r="A9" s="41" t="inlineStr">
        <is>
          <t>Stade</t>
        </is>
      </c>
      <c r="B9" s="41" t="inlineStr">
        <is>
          <t>III</t>
        </is>
      </c>
      <c r="C9" s="51" t="n">
        <v>3</v>
      </c>
      <c r="D9" s="51" t="n">
        <v>2</v>
      </c>
      <c r="E9" s="41" t="n"/>
      <c r="F9" s="41" t="n"/>
      <c r="G9" s="41" t="inlineStr">
        <is>
          <t>III</t>
        </is>
      </c>
    </row>
    <row r="10" ht="15" customHeight="1" s="33">
      <c r="A10" s="41" t="inlineStr">
        <is>
          <t>Stade</t>
        </is>
      </c>
      <c r="B10" s="41" t="inlineStr">
        <is>
          <t>IV</t>
        </is>
      </c>
      <c r="C10" s="51" t="n">
        <v>4</v>
      </c>
      <c r="D10" s="51" t="n">
        <v>3</v>
      </c>
      <c r="E10" s="41" t="n"/>
      <c r="F10" s="41" t="n"/>
      <c r="G10" s="41" t="inlineStr">
        <is>
          <t>IV</t>
        </is>
      </c>
    </row>
    <row r="11" ht="15" customHeight="1" s="33">
      <c r="A11" s="41" t="inlineStr">
        <is>
          <t>Stade</t>
        </is>
      </c>
      <c r="B11" s="41" t="inlineStr">
        <is>
          <t>Inconnu</t>
        </is>
      </c>
      <c r="C11" s="60" t="inlineStr">
        <is>
          <t>NA_inconnu</t>
        </is>
      </c>
      <c r="D11" s="51" t="n"/>
      <c r="E11" s="41" t="n"/>
      <c r="F11" s="41" t="inlineStr">
        <is>
          <t>Diagnostiquée mais stade non connu.</t>
        </is>
      </c>
      <c r="G11" s="41" t="inlineStr">
        <is>
          <t>I don't know</t>
        </is>
      </c>
    </row>
    <row r="12" ht="23.85" customHeight="1" s="33">
      <c r="A12" s="41" t="inlineStr">
        <is>
          <t>Stade</t>
        </is>
      </c>
      <c r="B12" s="41" t="inlineStr">
        <is>
          <t>Non applicable</t>
        </is>
      </c>
      <c r="C12" s="60" t="inlineStr">
        <is>
          <t>NA_non_applicable</t>
        </is>
      </c>
      <c r="D12" s="51" t="n"/>
      <c r="E12" s="41" t="inlineStr">
        <is>
          <t>— | N/A | (vide)</t>
        </is>
      </c>
      <c r="F12" s="41" t="inlineStr">
        <is>
          <t>Question non affichée : aucune valeur n'est exportée. Rétabli à l'import par fill_structural_blanks().</t>
        </is>
      </c>
      <c r="G12" s="41" t="n"/>
    </row>
    <row r="13" ht="15" customHeight="1" s="33">
      <c r="A13" s="40" t="inlineStr">
        <is>
          <t>Tranche_age</t>
        </is>
      </c>
      <c r="B13" s="58" t="inlineStr">
        <is>
          <t>&lt;20</t>
        </is>
      </c>
      <c r="C13" s="59" t="n">
        <v>0</v>
      </c>
      <c r="D13" s="59" t="n">
        <v>0</v>
      </c>
      <c r="E13" s="58" t="n"/>
      <c r="F13" s="58" t="n"/>
      <c r="G13" s="58" t="inlineStr">
        <is>
          <t>&lt;20</t>
        </is>
      </c>
    </row>
    <row r="14" ht="15" customHeight="1" s="33">
      <c r="A14" s="58" t="inlineStr">
        <is>
          <t>Tranche_age</t>
        </is>
      </c>
      <c r="B14" s="58" t="inlineStr">
        <is>
          <t>20-24</t>
        </is>
      </c>
      <c r="C14" s="59" t="n">
        <v>1</v>
      </c>
      <c r="D14" s="59" t="n">
        <v>1</v>
      </c>
      <c r="E14" s="58" t="n"/>
      <c r="F14" s="58" t="n"/>
      <c r="G14" s="58" t="inlineStr">
        <is>
          <t>20-24</t>
        </is>
      </c>
    </row>
    <row r="15" ht="15" customHeight="1" s="33">
      <c r="A15" s="58" t="inlineStr">
        <is>
          <t>Tranche_age</t>
        </is>
      </c>
      <c r="B15" s="58" t="inlineStr">
        <is>
          <t>25-29</t>
        </is>
      </c>
      <c r="C15" s="59" t="n">
        <v>2</v>
      </c>
      <c r="D15" s="59" t="n">
        <v>2</v>
      </c>
      <c r="E15" s="58" t="n"/>
      <c r="F15" s="58" t="n"/>
      <c r="G15" s="58" t="inlineStr">
        <is>
          <t>25-29</t>
        </is>
      </c>
    </row>
    <row r="16" ht="15" customHeight="1" s="33">
      <c r="A16" s="58" t="inlineStr">
        <is>
          <t>Tranche_age</t>
        </is>
      </c>
      <c r="B16" s="58" t="inlineStr">
        <is>
          <t>30-34</t>
        </is>
      </c>
      <c r="C16" s="59" t="n">
        <v>3</v>
      </c>
      <c r="D16" s="59" t="n">
        <v>3</v>
      </c>
      <c r="E16" s="58" t="n"/>
      <c r="F16" s="58" t="n"/>
      <c r="G16" s="58" t="inlineStr">
        <is>
          <t>30-34</t>
        </is>
      </c>
    </row>
    <row r="17" ht="15" customHeight="1" s="33">
      <c r="A17" s="58" t="inlineStr">
        <is>
          <t>Tranche_age</t>
        </is>
      </c>
      <c r="B17" s="58" t="inlineStr">
        <is>
          <t>35-39</t>
        </is>
      </c>
      <c r="C17" s="59" t="n">
        <v>4</v>
      </c>
      <c r="D17" s="59" t="n">
        <v>4</v>
      </c>
      <c r="E17" s="58" t="n"/>
      <c r="F17" s="58" t="n"/>
      <c r="G17" s="58" t="inlineStr">
        <is>
          <t>35-39</t>
        </is>
      </c>
    </row>
    <row r="18" ht="15" customHeight="1" s="33">
      <c r="A18" s="58" t="inlineStr">
        <is>
          <t>Tranche_age</t>
        </is>
      </c>
      <c r="B18" s="58" t="inlineStr">
        <is>
          <t>40-44</t>
        </is>
      </c>
      <c r="C18" s="59" t="n">
        <v>5</v>
      </c>
      <c r="D18" s="59" t="n">
        <v>5</v>
      </c>
      <c r="E18" s="58" t="n"/>
      <c r="F18" s="58" t="n"/>
      <c r="G18" s="58" t="inlineStr">
        <is>
          <t>40-44</t>
        </is>
      </c>
    </row>
    <row r="19" ht="15" customHeight="1" s="33">
      <c r="A19" s="58" t="inlineStr">
        <is>
          <t>Tranche_age</t>
        </is>
      </c>
      <c r="B19" s="58" t="inlineStr">
        <is>
          <t>≥45</t>
        </is>
      </c>
      <c r="C19" s="59" t="n">
        <v>6</v>
      </c>
      <c r="D19" s="59" t="n">
        <v>6</v>
      </c>
      <c r="E19" s="58" t="inlineStr">
        <is>
          <t>&gt;=45 | 45+</t>
        </is>
      </c>
      <c r="F19" s="58" t="inlineStr">
        <is>
          <t>Le formulaire renvoie « ≥45 » précédé d'une espace. Traité par le nettoyage de lecture d'ingest.py (strip), pas par un alias : une espace de bord ne survit pas au découpage de cette colonne.</t>
        </is>
      </c>
      <c r="G19" s="58" t="inlineStr">
        <is>
          <t>≥45</t>
        </is>
      </c>
    </row>
    <row r="20" ht="15" customHeight="1" s="33">
      <c r="A20" s="50" t="inlineStr">
        <is>
          <t>IMC_categorie</t>
        </is>
      </c>
      <c r="B20" s="41" t="inlineStr">
        <is>
          <t>Maigreur (&lt;18,5)</t>
        </is>
      </c>
      <c r="C20" s="51" t="n">
        <v>0</v>
      </c>
      <c r="D20" s="51" t="n">
        <v>0</v>
      </c>
      <c r="E20" s="41" t="inlineStr">
        <is>
          <t>Maigreur</t>
        </is>
      </c>
      <c r="F20" s="41" t="n"/>
      <c r="G20" s="41" t="inlineStr">
        <is>
          <t>Underweight (&lt;18.5)</t>
        </is>
      </c>
    </row>
    <row r="21" ht="15" customHeight="1" s="33">
      <c r="A21" s="41" t="inlineStr">
        <is>
          <t>IMC_categorie</t>
        </is>
      </c>
      <c r="B21" s="41" t="inlineStr">
        <is>
          <t>Normal (18,5-24,9)</t>
        </is>
      </c>
      <c r="C21" s="51" t="n">
        <v>1</v>
      </c>
      <c r="D21" s="51" t="n">
        <v>1</v>
      </c>
      <c r="E21" s="41" t="inlineStr">
        <is>
          <t>Normal</t>
        </is>
      </c>
      <c r="F21" s="41" t="n"/>
      <c r="G21" s="41" t="inlineStr">
        <is>
          <t>Normal (18.5-24.9)</t>
        </is>
      </c>
    </row>
    <row r="22" ht="15" customHeight="1" s="33">
      <c r="A22" s="41" t="inlineStr">
        <is>
          <t>IMC_categorie</t>
        </is>
      </c>
      <c r="B22" s="41" t="inlineStr">
        <is>
          <t>Surpoids (25-29,9)</t>
        </is>
      </c>
      <c r="C22" s="51" t="n">
        <v>2</v>
      </c>
      <c r="D22" s="51" t="n">
        <v>2</v>
      </c>
      <c r="E22" s="41" t="inlineStr">
        <is>
          <t>Surpoids</t>
        </is>
      </c>
      <c r="F22" s="41" t="n"/>
      <c r="G22" s="41" t="inlineStr">
        <is>
          <t>Overweight (25-29.9)</t>
        </is>
      </c>
    </row>
    <row r="23" ht="15" customHeight="1" s="33">
      <c r="A23" s="41" t="inlineStr">
        <is>
          <t>IMC_categorie</t>
        </is>
      </c>
      <c r="B23" s="41" t="inlineStr">
        <is>
          <t>Obésité (≥30)</t>
        </is>
      </c>
      <c r="C23" s="51" t="n">
        <v>3</v>
      </c>
      <c r="D23" s="51" t="n">
        <v>3</v>
      </c>
      <c r="E23" s="41" t="inlineStr">
        <is>
          <t>Obesite | Obésité</t>
        </is>
      </c>
      <c r="F23" s="41" t="n"/>
      <c r="G23" s="41" t="inlineStr">
        <is>
          <t>Obese (≥30)</t>
        </is>
      </c>
    </row>
    <row r="24" ht="15" customHeight="1" s="33">
      <c r="A24" s="40" t="inlineStr">
        <is>
          <t>Age_menarche</t>
        </is>
      </c>
      <c r="B24" s="58" t="inlineStr">
        <is>
          <t>≤10</t>
        </is>
      </c>
      <c r="C24" s="59" t="n">
        <v>0</v>
      </c>
      <c r="D24" s="59" t="n">
        <v>0</v>
      </c>
      <c r="E24" s="58" t="inlineStr">
        <is>
          <t>&lt;=10</t>
        </is>
      </c>
      <c r="F24" s="58" t="n"/>
      <c r="G24" s="58" t="inlineStr">
        <is>
          <t>≤10</t>
        </is>
      </c>
    </row>
    <row r="25" ht="15" customHeight="1" s="33">
      <c r="A25" s="58" t="inlineStr">
        <is>
          <t>Age_menarche</t>
        </is>
      </c>
      <c r="B25" s="58" t="inlineStr">
        <is>
          <t>11-12</t>
        </is>
      </c>
      <c r="C25" s="59" t="n">
        <v>1</v>
      </c>
      <c r="D25" s="59" t="n">
        <v>1</v>
      </c>
      <c r="E25" s="58" t="n"/>
      <c r="F25" s="58" t="n"/>
      <c r="G25" s="58" t="inlineStr">
        <is>
          <t>11-12</t>
        </is>
      </c>
    </row>
    <row r="26" ht="15" customHeight="1" s="33">
      <c r="A26" s="58" t="inlineStr">
        <is>
          <t>Age_menarche</t>
        </is>
      </c>
      <c r="B26" s="58" t="inlineStr">
        <is>
          <t>13-14</t>
        </is>
      </c>
      <c r="C26" s="59" t="n">
        <v>2</v>
      </c>
      <c r="D26" s="59" t="n">
        <v>2</v>
      </c>
      <c r="E26" s="58" t="n"/>
      <c r="F26" s="58" t="n"/>
      <c r="G26" s="58" t="inlineStr">
        <is>
          <t>13-14</t>
        </is>
      </c>
    </row>
    <row r="27" ht="15" customHeight="1" s="33">
      <c r="A27" s="58" t="inlineStr">
        <is>
          <t>Age_menarche</t>
        </is>
      </c>
      <c r="B27" s="58" t="inlineStr">
        <is>
          <t>≥15</t>
        </is>
      </c>
      <c r="C27" s="59" t="n">
        <v>3</v>
      </c>
      <c r="D27" s="59" t="n">
        <v>3</v>
      </c>
      <c r="E27" s="58" t="inlineStr">
        <is>
          <t>&gt;=15 | 15+</t>
        </is>
      </c>
      <c r="F27" s="58" t="n"/>
      <c r="G27" s="58" t="inlineStr">
        <is>
          <t>≥15</t>
        </is>
      </c>
    </row>
    <row r="28" ht="15" customHeight="1" s="33">
      <c r="A28" s="58" t="inlineStr">
        <is>
          <t>Age_menarche</t>
        </is>
      </c>
      <c r="B28" s="58" t="inlineStr">
        <is>
          <t>Inconnu</t>
        </is>
      </c>
      <c r="C28" s="61" t="inlineStr">
        <is>
          <t>NA_inconnu</t>
        </is>
      </c>
      <c r="D28" s="59" t="n"/>
      <c r="E28" s="58" t="n"/>
      <c r="F28" s="58" t="n"/>
      <c r="G28" s="58" t="inlineStr">
        <is>
          <t>Unknown</t>
        </is>
      </c>
    </row>
    <row r="29" ht="15" customHeight="1" s="33">
      <c r="A29" s="50" t="inlineStr">
        <is>
          <t>Longueur_cycle</t>
        </is>
      </c>
      <c r="B29" s="41" t="inlineStr">
        <is>
          <t>&lt;21 jours</t>
        </is>
      </c>
      <c r="C29" s="51" t="n">
        <v>0</v>
      </c>
      <c r="D29" s="51" t="n">
        <v>0</v>
      </c>
      <c r="E29" s="41" t="inlineStr">
        <is>
          <t>&lt;21 j</t>
        </is>
      </c>
      <c r="F29" s="41" t="n"/>
      <c r="G29" s="41" t="inlineStr">
        <is>
          <t>&lt;21 days</t>
        </is>
      </c>
    </row>
    <row r="30" ht="15" customHeight="1" s="33">
      <c r="A30" s="41" t="inlineStr">
        <is>
          <t>Longueur_cycle</t>
        </is>
      </c>
      <c r="B30" s="41" t="inlineStr">
        <is>
          <t>21-35 jours</t>
        </is>
      </c>
      <c r="C30" s="51" t="n">
        <v>1</v>
      </c>
      <c r="D30" s="51" t="n">
        <v>1</v>
      </c>
      <c r="E30" s="41" t="inlineStr">
        <is>
          <t>21-35 j</t>
        </is>
      </c>
      <c r="F30" s="41" t="n"/>
      <c r="G30" s="41" t="inlineStr">
        <is>
          <t>21-35 days</t>
        </is>
      </c>
    </row>
    <row r="31" ht="15" customHeight="1" s="33">
      <c r="A31" s="41" t="inlineStr">
        <is>
          <t>Longueur_cycle</t>
        </is>
      </c>
      <c r="B31" s="41" t="inlineStr">
        <is>
          <t>&gt;35 jours</t>
        </is>
      </c>
      <c r="C31" s="51" t="n">
        <v>2</v>
      </c>
      <c r="D31" s="51" t="n">
        <v>2</v>
      </c>
      <c r="E31" s="41" t="inlineStr">
        <is>
          <t>&gt;35 j</t>
        </is>
      </c>
      <c r="F31" s="41" t="n"/>
      <c r="G31" s="41" t="inlineStr">
        <is>
          <t>&gt;35 days</t>
        </is>
      </c>
    </row>
    <row r="32" ht="23.85" customHeight="1" s="33">
      <c r="A32" s="41" t="inlineStr">
        <is>
          <t>Longueur_cycle</t>
        </is>
      </c>
      <c r="B32" s="41" t="inlineStr">
        <is>
          <t>Irrégulier</t>
        </is>
      </c>
      <c r="C32" s="51" t="n">
        <v>3</v>
      </c>
      <c r="D32" s="51" t="n">
        <v>3</v>
      </c>
      <c r="E32" s="41" t="n"/>
      <c r="F32" s="41" t="inlineStr">
        <is>
          <t>Hors échelle de durée → variable à traiter en nominal (one-hot).</t>
        </is>
      </c>
      <c r="G32" s="41" t="inlineStr">
        <is>
          <t>Irregular</t>
        </is>
      </c>
    </row>
    <row r="33" ht="15" customHeight="1" s="33">
      <c r="A33" s="40" t="inlineStr">
        <is>
          <t>Regularite_cycle</t>
        </is>
      </c>
      <c r="B33" s="58" t="inlineStr">
        <is>
          <t>Régulier</t>
        </is>
      </c>
      <c r="C33" s="59" t="n">
        <v>0</v>
      </c>
      <c r="D33" s="59" t="n">
        <v>0</v>
      </c>
      <c r="E33" s="58" t="n"/>
      <c r="F33" s="58" t="n"/>
      <c r="G33" s="58" t="inlineStr">
        <is>
          <t>Regular</t>
        </is>
      </c>
    </row>
    <row r="34" ht="15" customHeight="1" s="33">
      <c r="A34" s="58" t="inlineStr">
        <is>
          <t>Regularite_cycle</t>
        </is>
      </c>
      <c r="B34" s="58" t="inlineStr">
        <is>
          <t>Irrégulier</t>
        </is>
      </c>
      <c r="C34" s="59" t="n">
        <v>1</v>
      </c>
      <c r="D34" s="59" t="n">
        <v>1</v>
      </c>
      <c r="E34" s="58" t="n"/>
      <c r="F34" s="58" t="n"/>
      <c r="G34" s="58" t="inlineStr">
        <is>
          <t>Irregular</t>
        </is>
      </c>
    </row>
    <row r="35" ht="15" customHeight="1" s="33">
      <c r="A35" s="50" t="inlineStr">
        <is>
          <t>Abondance_regles</t>
        </is>
      </c>
      <c r="B35" s="41" t="inlineStr">
        <is>
          <t>Faible</t>
        </is>
      </c>
      <c r="C35" s="51" t="n">
        <v>0</v>
      </c>
      <c r="D35" s="51" t="n">
        <v>0</v>
      </c>
      <c r="E35" s="41" t="n"/>
      <c r="F35" s="41" t="n"/>
      <c r="G35" s="41" t="inlineStr">
        <is>
          <t>Light</t>
        </is>
      </c>
    </row>
    <row r="36" ht="15" customHeight="1" s="33">
      <c r="A36" s="41" t="inlineStr">
        <is>
          <t>Abondance_regles</t>
        </is>
      </c>
      <c r="B36" s="41" t="inlineStr">
        <is>
          <t>Normale</t>
        </is>
      </c>
      <c r="C36" s="51" t="n">
        <v>1</v>
      </c>
      <c r="D36" s="51" t="n">
        <v>1</v>
      </c>
      <c r="E36" s="41" t="n"/>
      <c r="F36" s="41" t="n"/>
      <c r="G36" s="41" t="inlineStr">
        <is>
          <t>Normal</t>
        </is>
      </c>
    </row>
    <row r="37" ht="15" customHeight="1" s="33">
      <c r="A37" s="41" t="inlineStr">
        <is>
          <t>Abondance_regles</t>
        </is>
      </c>
      <c r="B37" s="41" t="inlineStr">
        <is>
          <t>Abondante</t>
        </is>
      </c>
      <c r="C37" s="51" t="n">
        <v>2</v>
      </c>
      <c r="D37" s="51" t="n">
        <v>2</v>
      </c>
      <c r="E37" s="41" t="n"/>
      <c r="F37" s="41" t="n"/>
      <c r="G37" s="41" t="inlineStr">
        <is>
          <t>Heavy</t>
        </is>
      </c>
    </row>
    <row r="38" ht="15" customHeight="1" s="33">
      <c r="A38" s="40" t="inlineStr">
        <is>
          <t>Duree_regles</t>
        </is>
      </c>
      <c r="B38" s="58" t="inlineStr">
        <is>
          <t>≤3 jours</t>
        </is>
      </c>
      <c r="C38" s="59" t="n">
        <v>0</v>
      </c>
      <c r="D38" s="59" t="n">
        <v>0</v>
      </c>
      <c r="E38" s="58" t="inlineStr">
        <is>
          <t>≤3 j | &lt;=3 j</t>
        </is>
      </c>
      <c r="F38" s="58" t="n"/>
      <c r="G38" s="58" t="inlineStr">
        <is>
          <t>≤3 days</t>
        </is>
      </c>
    </row>
    <row r="39" ht="15" customHeight="1" s="33">
      <c r="A39" s="58" t="inlineStr">
        <is>
          <t>Duree_regles</t>
        </is>
      </c>
      <c r="B39" s="58" t="inlineStr">
        <is>
          <t>4-7 jours</t>
        </is>
      </c>
      <c r="C39" s="59" t="n">
        <v>1</v>
      </c>
      <c r="D39" s="59" t="n">
        <v>1</v>
      </c>
      <c r="E39" s="58" t="inlineStr">
        <is>
          <t>4-7 j</t>
        </is>
      </c>
      <c r="F39" s="58" t="n"/>
      <c r="G39" s="58" t="inlineStr">
        <is>
          <t>4-7 days</t>
        </is>
      </c>
    </row>
    <row r="40" ht="15" customHeight="1" s="33">
      <c r="A40" s="58" t="inlineStr">
        <is>
          <t>Duree_regles</t>
        </is>
      </c>
      <c r="B40" s="58" t="inlineStr">
        <is>
          <t>&gt;7 jours</t>
        </is>
      </c>
      <c r="C40" s="59" t="n">
        <v>2</v>
      </c>
      <c r="D40" s="59" t="n">
        <v>2</v>
      </c>
      <c r="E40" s="58" t="inlineStr">
        <is>
          <t>&gt;7 j | &gt; 7 jours | &gt;7 j</t>
        </is>
      </c>
      <c r="F40" s="58" t="n"/>
      <c r="G40" s="58" t="inlineStr">
        <is>
          <t>&gt;7 days</t>
        </is>
      </c>
    </row>
    <row r="41" ht="15" customHeight="1" s="33">
      <c r="A41" s="50" t="inlineStr">
        <is>
          <t>Dysmenorrhee</t>
        </is>
      </c>
      <c r="B41" s="41" t="inlineStr">
        <is>
          <t>Aucune</t>
        </is>
      </c>
      <c r="C41" s="51" t="n">
        <v>0</v>
      </c>
      <c r="D41" s="51" t="n">
        <v>0</v>
      </c>
      <c r="E41" s="41" t="n"/>
      <c r="F41" s="41" t="n"/>
      <c r="G41" s="41" t="inlineStr">
        <is>
          <t>None</t>
        </is>
      </c>
    </row>
    <row r="42" ht="15" customHeight="1" s="33">
      <c r="A42" s="41" t="inlineStr">
        <is>
          <t>Dysmenorrhee</t>
        </is>
      </c>
      <c r="B42" s="41" t="inlineStr">
        <is>
          <t>Légère</t>
        </is>
      </c>
      <c r="C42" s="51" t="n">
        <v>1</v>
      </c>
      <c r="D42" s="51" t="n">
        <v>1</v>
      </c>
      <c r="E42" s="41" t="n"/>
      <c r="F42" s="41" t="n"/>
      <c r="G42" s="41" t="inlineStr">
        <is>
          <t>Mild</t>
        </is>
      </c>
    </row>
    <row r="43" ht="15" customHeight="1" s="33">
      <c r="A43" s="41" t="inlineStr">
        <is>
          <t>Dysmenorrhee</t>
        </is>
      </c>
      <c r="B43" s="41" t="inlineStr">
        <is>
          <t>Modérée</t>
        </is>
      </c>
      <c r="C43" s="51" t="n">
        <v>2</v>
      </c>
      <c r="D43" s="51" t="n">
        <v>2</v>
      </c>
      <c r="E43" s="41" t="n"/>
      <c r="F43" s="41" t="n"/>
      <c r="G43" s="41" t="inlineStr">
        <is>
          <t>Moderate</t>
        </is>
      </c>
    </row>
    <row r="44" ht="23.85" customHeight="1" s="33">
      <c r="A44" s="41" t="inlineStr">
        <is>
          <t>Dysmenorrhee</t>
        </is>
      </c>
      <c r="B44" s="41" t="inlineStr">
        <is>
          <t>Sévère</t>
        </is>
      </c>
      <c r="C44" s="51" t="n">
        <v>3</v>
      </c>
      <c r="D44" s="51" t="n">
        <v>3</v>
      </c>
      <c r="E44" s="41" t="n"/>
      <c r="F44" s="41" t="inlineStr">
        <is>
          <t>Déclenche l'affichage de la question HP (hors périmètre dry lab).</t>
        </is>
      </c>
      <c r="G44" s="41" t="inlineStr">
        <is>
          <t>Severe</t>
        </is>
      </c>
    </row>
    <row r="45" ht="15" customHeight="1" s="33">
      <c r="A45" s="40" t="inlineStr">
        <is>
          <t>Douleur_pelvienne</t>
        </is>
      </c>
      <c r="B45" s="58" t="inlineStr">
        <is>
          <t>Aucune</t>
        </is>
      </c>
      <c r="C45" s="59" t="n">
        <v>0</v>
      </c>
      <c r="D45" s="59" t="n">
        <v>0</v>
      </c>
      <c r="E45" s="58" t="inlineStr">
        <is>
          <t>Non</t>
        </is>
      </c>
      <c r="F45" s="58" t="inlineStr">
        <is>
          <t>La v1 du dictionnaire écrivait « Non ».</t>
        </is>
      </c>
      <c r="G45" s="58" t="inlineStr">
        <is>
          <t>None</t>
        </is>
      </c>
    </row>
    <row r="46" ht="15" customHeight="1" s="33">
      <c r="A46" s="58" t="inlineStr">
        <is>
          <t>Douleur_pelvienne</t>
        </is>
      </c>
      <c r="B46" s="58" t="inlineStr">
        <is>
          <t>Légère</t>
        </is>
      </c>
      <c r="C46" s="59" t="n">
        <v>1</v>
      </c>
      <c r="D46" s="59" t="n">
        <v>1</v>
      </c>
      <c r="E46" s="58" t="n"/>
      <c r="F46" s="58" t="n"/>
      <c r="G46" s="58" t="inlineStr">
        <is>
          <t>Mild</t>
        </is>
      </c>
    </row>
    <row r="47" ht="15" customHeight="1" s="33">
      <c r="A47" s="58" t="inlineStr">
        <is>
          <t>Douleur_pelvienne</t>
        </is>
      </c>
      <c r="B47" s="58" t="inlineStr">
        <is>
          <t>Modérée</t>
        </is>
      </c>
      <c r="C47" s="59" t="n">
        <v>2</v>
      </c>
      <c r="D47" s="59" t="n">
        <v>2</v>
      </c>
      <c r="E47" s="58" t="n"/>
      <c r="F47" s="58" t="n"/>
      <c r="G47" s="58" t="inlineStr">
        <is>
          <t>Moderate</t>
        </is>
      </c>
    </row>
    <row r="48" ht="15" customHeight="1" s="33">
      <c r="A48" s="58" t="inlineStr">
        <is>
          <t>Douleur_pelvienne</t>
        </is>
      </c>
      <c r="B48" s="58" t="inlineStr">
        <is>
          <t>Sévère</t>
        </is>
      </c>
      <c r="C48" s="59" t="n">
        <v>3</v>
      </c>
      <c r="D48" s="59" t="n">
        <v>3</v>
      </c>
      <c r="E48" s="58" t="n"/>
      <c r="F48" s="58" t="n"/>
      <c r="G48" s="58" t="inlineStr">
        <is>
          <t>Severe</t>
        </is>
      </c>
    </row>
    <row r="49" ht="15" customHeight="1" s="33">
      <c r="A49" s="50" t="inlineStr">
        <is>
          <t>Dyspareunie</t>
        </is>
      </c>
      <c r="B49" s="41" t="inlineStr">
        <is>
          <t>Oui</t>
        </is>
      </c>
      <c r="C49" s="51" t="n">
        <v>1</v>
      </c>
      <c r="D49" s="51" t="n">
        <v>0</v>
      </c>
      <c r="E49" s="41" t="n"/>
      <c r="F49" s="41" t="n"/>
      <c r="G49" s="41" t="inlineStr">
        <is>
          <t>Yes</t>
        </is>
      </c>
    </row>
    <row r="50" ht="15" customHeight="1" s="33">
      <c r="A50" s="41" t="inlineStr">
        <is>
          <t>Dyspareunie</t>
        </is>
      </c>
      <c r="B50" s="41" t="inlineStr">
        <is>
          <t>Non</t>
        </is>
      </c>
      <c r="C50" s="51" t="n">
        <v>0</v>
      </c>
      <c r="D50" s="51" t="n">
        <v>1</v>
      </c>
      <c r="E50" s="41" t="n"/>
      <c r="F50" s="41" t="n"/>
      <c r="G50" s="41" t="inlineStr">
        <is>
          <t>No</t>
        </is>
      </c>
    </row>
    <row r="51" ht="15" customHeight="1" s="33">
      <c r="A51" s="41" t="inlineStr">
        <is>
          <t>Dyspareunie</t>
        </is>
      </c>
      <c r="B51" s="41" t="inlineStr">
        <is>
          <t>Non renseigné</t>
        </is>
      </c>
      <c r="C51" s="60" t="inlineStr">
        <is>
          <t>NA_non_renseigne</t>
        </is>
      </c>
      <c r="D51" s="51" t="n"/>
      <c r="E51" s="41" t="n"/>
      <c r="F51" s="41" t="n"/>
      <c r="G51" s="41" t="inlineStr">
        <is>
          <t>Not reported</t>
        </is>
      </c>
    </row>
    <row r="52" ht="15" customHeight="1" s="33">
      <c r="A52" s="40" t="inlineStr">
        <is>
          <t>Dyschesie</t>
        </is>
      </c>
      <c r="B52" s="58" t="inlineStr">
        <is>
          <t>Oui</t>
        </is>
      </c>
      <c r="C52" s="59" t="n">
        <v>1</v>
      </c>
      <c r="D52" s="59" t="n">
        <v>0</v>
      </c>
      <c r="E52" s="58" t="n"/>
      <c r="F52" s="58" t="n"/>
      <c r="G52" s="58" t="inlineStr">
        <is>
          <t>Yes</t>
        </is>
      </c>
    </row>
    <row r="53" ht="15" customHeight="1" s="33">
      <c r="A53" s="58" t="inlineStr">
        <is>
          <t>Dyschesie</t>
        </is>
      </c>
      <c r="B53" s="58" t="inlineStr">
        <is>
          <t>Non</t>
        </is>
      </c>
      <c r="C53" s="59" t="n">
        <v>0</v>
      </c>
      <c r="D53" s="59" t="n">
        <v>1</v>
      </c>
      <c r="E53" s="58" t="n"/>
      <c r="F53" s="58" t="n"/>
      <c r="G53" s="58" t="inlineStr">
        <is>
          <t>No</t>
        </is>
      </c>
    </row>
    <row r="54" ht="15" customHeight="1" s="33">
      <c r="A54" s="58" t="inlineStr">
        <is>
          <t>Dyschesie</t>
        </is>
      </c>
      <c r="B54" s="58" t="inlineStr">
        <is>
          <t>Non renseigné</t>
        </is>
      </c>
      <c r="C54" s="61" t="inlineStr">
        <is>
          <t>NA_non_renseigne</t>
        </is>
      </c>
      <c r="D54" s="59" t="n"/>
      <c r="E54" s="58" t="n"/>
      <c r="F54" s="58" t="n"/>
      <c r="G54" s="58" t="inlineStr">
        <is>
          <t>Not reported</t>
        </is>
      </c>
    </row>
    <row r="55" ht="15" customHeight="1" s="33">
      <c r="A55" s="50" t="inlineStr">
        <is>
          <t>Symptomes_cycliques</t>
        </is>
      </c>
      <c r="B55" s="41" t="inlineStr">
        <is>
          <t>Oui</t>
        </is>
      </c>
      <c r="C55" s="51" t="n">
        <v>1</v>
      </c>
      <c r="D55" s="51" t="n">
        <v>0</v>
      </c>
      <c r="E55" s="41" t="n"/>
      <c r="F55" s="41" t="n"/>
      <c r="G55" s="41" t="inlineStr">
        <is>
          <t>Yes</t>
        </is>
      </c>
    </row>
    <row r="56" ht="15" customHeight="1" s="33">
      <c r="A56" s="41" t="inlineStr">
        <is>
          <t>Symptomes_cycliques</t>
        </is>
      </c>
      <c r="B56" s="41" t="inlineStr">
        <is>
          <t>Non</t>
        </is>
      </c>
      <c r="C56" s="51" t="n">
        <v>0</v>
      </c>
      <c r="D56" s="51" t="n">
        <v>1</v>
      </c>
      <c r="E56" s="41" t="n"/>
      <c r="F56" s="41" t="n"/>
      <c r="G56" s="41" t="inlineStr">
        <is>
          <t>No</t>
        </is>
      </c>
    </row>
    <row r="57" ht="15" customHeight="1" s="33">
      <c r="A57" s="41" t="inlineStr">
        <is>
          <t>Symptomes_cycliques</t>
        </is>
      </c>
      <c r="B57" s="41" t="inlineStr">
        <is>
          <t>Non renseigné</t>
        </is>
      </c>
      <c r="C57" s="60" t="inlineStr">
        <is>
          <t>NA_non_renseigne</t>
        </is>
      </c>
      <c r="D57" s="51" t="n"/>
      <c r="E57" s="41" t="n"/>
      <c r="F57" s="41" t="n"/>
      <c r="G57" s="41" t="inlineStr">
        <is>
          <t>Not reported</t>
        </is>
      </c>
    </row>
    <row r="58" ht="15" customHeight="1" s="33">
      <c r="A58" s="40" t="inlineStr">
        <is>
          <t>Age_apparition_symptomes</t>
        </is>
      </c>
      <c r="B58" s="58" t="inlineStr">
        <is>
          <t>&lt;15</t>
        </is>
      </c>
      <c r="C58" s="59" t="n">
        <v>0</v>
      </c>
      <c r="D58" s="59" t="n">
        <v>0</v>
      </c>
      <c r="E58" s="58" t="n"/>
      <c r="F58" s="58" t="n"/>
      <c r="G58" s="58" t="inlineStr">
        <is>
          <t>&lt;15</t>
        </is>
      </c>
    </row>
    <row r="59" ht="15" customHeight="1" s="33">
      <c r="A59" s="58" t="inlineStr">
        <is>
          <t>Age_apparition_symptomes</t>
        </is>
      </c>
      <c r="B59" s="58" t="inlineStr">
        <is>
          <t>15-19</t>
        </is>
      </c>
      <c r="C59" s="59" t="n">
        <v>1</v>
      </c>
      <c r="D59" s="59" t="n">
        <v>1</v>
      </c>
      <c r="E59" s="58" t="n"/>
      <c r="F59" s="58" t="n"/>
      <c r="G59" s="58" t="inlineStr">
        <is>
          <t>15-19</t>
        </is>
      </c>
    </row>
    <row r="60" ht="15" customHeight="1" s="33">
      <c r="A60" s="58" t="inlineStr">
        <is>
          <t>Age_apparition_symptomes</t>
        </is>
      </c>
      <c r="B60" s="58" t="inlineStr">
        <is>
          <t>20-24</t>
        </is>
      </c>
      <c r="C60" s="59" t="n">
        <v>2</v>
      </c>
      <c r="D60" s="59" t="n">
        <v>2</v>
      </c>
      <c r="E60" s="58" t="n"/>
      <c r="F60" s="58" t="n"/>
      <c r="G60" s="58" t="inlineStr">
        <is>
          <t>20-24</t>
        </is>
      </c>
    </row>
    <row r="61" ht="15" customHeight="1" s="33">
      <c r="A61" s="58" t="inlineStr">
        <is>
          <t>Age_apparition_symptomes</t>
        </is>
      </c>
      <c r="B61" s="58" t="inlineStr">
        <is>
          <t>25-29</t>
        </is>
      </c>
      <c r="C61" s="59" t="n">
        <v>3</v>
      </c>
      <c r="D61" s="59" t="n">
        <v>3</v>
      </c>
      <c r="E61" s="58" t="n"/>
      <c r="F61" s="58" t="n"/>
      <c r="G61" s="58" t="inlineStr">
        <is>
          <t>25-29</t>
        </is>
      </c>
    </row>
    <row r="62" ht="15" customHeight="1" s="33">
      <c r="A62" s="58" t="inlineStr">
        <is>
          <t>Age_apparition_symptomes</t>
        </is>
      </c>
      <c r="B62" s="58" t="inlineStr">
        <is>
          <t>≥30</t>
        </is>
      </c>
      <c r="C62" s="59" t="n">
        <v>4</v>
      </c>
      <c r="D62" s="59" t="n">
        <v>4</v>
      </c>
      <c r="E62" s="58" t="inlineStr">
        <is>
          <t>&gt;=30 | 30+</t>
        </is>
      </c>
      <c r="F62" s="58" t="n"/>
      <c r="G62" s="58" t="inlineStr">
        <is>
          <t>≥30</t>
        </is>
      </c>
    </row>
    <row r="63" ht="15" customHeight="1" s="33">
      <c r="A63" s="58" t="inlineStr">
        <is>
          <t>Age_apparition_symptomes</t>
        </is>
      </c>
      <c r="B63" s="58" t="inlineStr">
        <is>
          <t>Inconnu</t>
        </is>
      </c>
      <c r="C63" s="61" t="inlineStr">
        <is>
          <t>NA_inconnu</t>
        </is>
      </c>
      <c r="D63" s="59" t="n"/>
      <c r="E63" s="58" t="n"/>
      <c r="F63" s="58" t="n"/>
      <c r="G63" s="58" t="inlineStr">
        <is>
          <t>Unknown</t>
        </is>
      </c>
    </row>
    <row r="64" ht="23.85" customHeight="1" s="33">
      <c r="A64" s="58" t="inlineStr">
        <is>
          <t>Age_apparition_symptomes</t>
        </is>
      </c>
      <c r="B64" s="58" t="inlineStr">
        <is>
          <t>Non concernée</t>
        </is>
      </c>
      <c r="C64" s="59" t="n">
        <v>99</v>
      </c>
      <c r="D64" s="59" t="n">
        <v>6</v>
      </c>
      <c r="E64" s="58" t="inlineStr">
        <is>
          <t>Non concernee | Aucun symptôme</t>
        </is>
      </c>
      <c r="F64" s="58" t="inlineStr">
        <is>
          <t>Aucun symptôme. Modalité à part entière, PAS un NA. Absente de la v1.</t>
        </is>
      </c>
      <c r="G64" s="58" t="inlineStr">
        <is>
          <t>Not applicable</t>
        </is>
      </c>
    </row>
    <row r="65" ht="23.85" customHeight="1" s="33">
      <c r="A65" s="50" t="inlineStr">
        <is>
          <t>Delai_diagnostic</t>
        </is>
      </c>
      <c r="B65" s="41" t="inlineStr">
        <is>
          <t>&lt;2 ans</t>
        </is>
      </c>
      <c r="C65" s="51" t="n">
        <v>0</v>
      </c>
      <c r="D65" s="51" t="n">
        <v>0</v>
      </c>
      <c r="E65" s="41" t="inlineStr">
        <is>
          <t>&lt; 2 ans</t>
        </is>
      </c>
      <c r="F65" s="41" t="inlineStr">
        <is>
          <t>Cible du modèle secondaire (diagnostic précoce vs tardif).</t>
        </is>
      </c>
      <c r="G65" s="41" t="inlineStr">
        <is>
          <t>&lt;2 years</t>
        </is>
      </c>
    </row>
    <row r="66" ht="15" customHeight="1" s="33">
      <c r="A66" s="41" t="inlineStr">
        <is>
          <t>Delai_diagnostic</t>
        </is>
      </c>
      <c r="B66" s="41" t="inlineStr">
        <is>
          <t>2-5 ans</t>
        </is>
      </c>
      <c r="C66" s="51" t="n">
        <v>1</v>
      </c>
      <c r="D66" s="51" t="n">
        <v>1</v>
      </c>
      <c r="E66" s="41" t="n"/>
      <c r="F66" s="41" t="n"/>
      <c r="G66" s="41" t="inlineStr">
        <is>
          <t>2-5 years</t>
        </is>
      </c>
    </row>
    <row r="67" ht="15" customHeight="1" s="33">
      <c r="A67" s="41" t="inlineStr">
        <is>
          <t>Delai_diagnostic</t>
        </is>
      </c>
      <c r="B67" s="41" t="inlineStr">
        <is>
          <t>6-10 ans</t>
        </is>
      </c>
      <c r="C67" s="51" t="n">
        <v>2</v>
      </c>
      <c r="D67" s="51" t="n">
        <v>2</v>
      </c>
      <c r="E67" s="41" t="n"/>
      <c r="F67" s="41" t="n"/>
      <c r="G67" s="41" t="inlineStr">
        <is>
          <t>6-10 years</t>
        </is>
      </c>
    </row>
    <row r="68" ht="15" customHeight="1" s="33">
      <c r="A68" s="41" t="inlineStr">
        <is>
          <t>Delai_diagnostic</t>
        </is>
      </c>
      <c r="B68" s="41" t="inlineStr">
        <is>
          <t>&gt;10 ans</t>
        </is>
      </c>
      <c r="C68" s="51" t="n">
        <v>3</v>
      </c>
      <c r="D68" s="51" t="n">
        <v>3</v>
      </c>
      <c r="E68" s="41" t="inlineStr">
        <is>
          <t>&gt; 10 ans</t>
        </is>
      </c>
      <c r="F68" s="41" t="n"/>
      <c r="G68" s="41" t="inlineStr">
        <is>
          <t>&gt;10 years</t>
        </is>
      </c>
    </row>
    <row r="69" ht="15" customHeight="1" s="33">
      <c r="A69" s="41" t="inlineStr">
        <is>
          <t>Delai_diagnostic</t>
        </is>
      </c>
      <c r="B69" s="41" t="inlineStr">
        <is>
          <t>Inconnu</t>
        </is>
      </c>
      <c r="C69" s="60" t="inlineStr">
        <is>
          <t>NA_inconnu</t>
        </is>
      </c>
      <c r="D69" s="51" t="n"/>
      <c r="E69" s="41" t="inlineStr">
        <is>
          <t>inconnu</t>
        </is>
      </c>
      <c r="F69" s="41" t="n"/>
      <c r="G69" s="41" t="inlineStr">
        <is>
          <t>Unknown</t>
        </is>
      </c>
    </row>
    <row r="70" ht="23.85" customHeight="1" s="33">
      <c r="A70" s="41" t="inlineStr">
        <is>
          <t>Delai_diagnostic</t>
        </is>
      </c>
      <c r="B70" s="41" t="inlineStr">
        <is>
          <t>Non concernée</t>
        </is>
      </c>
      <c r="C70" s="51" t="n">
        <v>99</v>
      </c>
      <c r="D70" s="51" t="n">
        <v>5</v>
      </c>
      <c r="E70" s="41" t="inlineStr">
        <is>
          <t>— | N/A | Non concernee | (vide)</t>
        </is>
      </c>
      <c r="F70" s="41" t="inlineStr">
        <is>
          <t>Attendu chez tous les Témoins. Absente de la v1 → voir C-03.</t>
        </is>
      </c>
      <c r="G70" s="41" t="inlineStr">
        <is>
          <t>Not applicable</t>
        </is>
      </c>
    </row>
    <row r="71" ht="15" customHeight="1" s="33">
      <c r="A71" s="40" t="inlineStr">
        <is>
          <t>Parite</t>
        </is>
      </c>
      <c r="B71" s="58" t="inlineStr">
        <is>
          <t>0</t>
        </is>
      </c>
      <c r="C71" s="59" t="n">
        <v>0</v>
      </c>
      <c r="D71" s="59" t="n">
        <v>0</v>
      </c>
      <c r="E71" s="58" t="n"/>
      <c r="F71" s="58" t="n"/>
      <c r="G71" s="58" t="inlineStr">
        <is>
          <t>0</t>
        </is>
      </c>
    </row>
    <row r="72" ht="15" customHeight="1" s="33">
      <c r="A72" s="58" t="inlineStr">
        <is>
          <t>Parite</t>
        </is>
      </c>
      <c r="B72" s="58" t="inlineStr">
        <is>
          <t>1</t>
        </is>
      </c>
      <c r="C72" s="59" t="n">
        <v>1</v>
      </c>
      <c r="D72" s="59" t="n">
        <v>1</v>
      </c>
      <c r="E72" s="58" t="n"/>
      <c r="F72" s="58" t="n"/>
      <c r="G72" s="58" t="inlineStr">
        <is>
          <t>1</t>
        </is>
      </c>
    </row>
    <row r="73" ht="15" customHeight="1" s="33">
      <c r="A73" s="58" t="inlineStr">
        <is>
          <t>Parite</t>
        </is>
      </c>
      <c r="B73" s="58" t="inlineStr">
        <is>
          <t>2</t>
        </is>
      </c>
      <c r="C73" s="59" t="n">
        <v>2</v>
      </c>
      <c r="D73" s="59" t="n">
        <v>2</v>
      </c>
      <c r="E73" s="58" t="n"/>
      <c r="F73" s="58" t="n"/>
      <c r="G73" s="58" t="inlineStr">
        <is>
          <t>2</t>
        </is>
      </c>
    </row>
    <row r="74" ht="15" customHeight="1" s="33">
      <c r="A74" s="58" t="inlineStr">
        <is>
          <t>Parite</t>
        </is>
      </c>
      <c r="B74" s="58" t="inlineStr">
        <is>
          <t>≥3</t>
        </is>
      </c>
      <c r="C74" s="59" t="n">
        <v>3</v>
      </c>
      <c r="D74" s="59" t="n">
        <v>3</v>
      </c>
      <c r="E74" s="58" t="inlineStr">
        <is>
          <t>&gt;=3 | 3+</t>
        </is>
      </c>
      <c r="F74" s="58" t="n"/>
      <c r="G74" s="58" t="inlineStr">
        <is>
          <t>≥3</t>
        </is>
      </c>
    </row>
    <row r="75" ht="15" customHeight="1" s="33">
      <c r="A75" s="50" t="inlineStr">
        <is>
          <t>Infertilite</t>
        </is>
      </c>
      <c r="B75" s="41" t="inlineStr">
        <is>
          <t>Oui</t>
        </is>
      </c>
      <c r="C75" s="51" t="n">
        <v>1</v>
      </c>
      <c r="D75" s="51" t="n">
        <v>0</v>
      </c>
      <c r="E75" s="41" t="n"/>
      <c r="F75" s="41" t="n"/>
      <c r="G75" s="41" t="inlineStr">
        <is>
          <t>Yes</t>
        </is>
      </c>
    </row>
    <row r="76" ht="15" customHeight="1" s="33">
      <c r="A76" s="41" t="inlineStr">
        <is>
          <t>Infertilite</t>
        </is>
      </c>
      <c r="B76" s="41" t="inlineStr">
        <is>
          <t>Non</t>
        </is>
      </c>
      <c r="C76" s="51" t="n">
        <v>0</v>
      </c>
      <c r="D76" s="51" t="n">
        <v>1</v>
      </c>
      <c r="E76" s="41" t="n"/>
      <c r="F76" s="41" t="n"/>
      <c r="G76" s="41" t="inlineStr">
        <is>
          <t>No</t>
        </is>
      </c>
    </row>
    <row r="77" ht="15" customHeight="1" s="33">
      <c r="A77" s="41" t="inlineStr">
        <is>
          <t>Infertilite</t>
        </is>
      </c>
      <c r="B77" s="41" t="inlineStr">
        <is>
          <t>Non renseigné</t>
        </is>
      </c>
      <c r="C77" s="60" t="inlineStr">
        <is>
          <t>NA_non_renseigne</t>
        </is>
      </c>
      <c r="D77" s="51" t="n"/>
      <c r="E77" s="41" t="n"/>
      <c r="F77" s="41" t="n"/>
      <c r="G77" s="41" t="inlineStr">
        <is>
          <t>Not reported</t>
        </is>
      </c>
    </row>
    <row r="78" ht="15" customHeight="1" s="33">
      <c r="A78" s="40" t="inlineStr">
        <is>
          <t>Contraception_hormonale</t>
        </is>
      </c>
      <c r="B78" s="58" t="inlineStr">
        <is>
          <t>Jamais</t>
        </is>
      </c>
      <c r="C78" s="59" t="n">
        <v>0</v>
      </c>
      <c r="D78" s="59" t="n">
        <v>0</v>
      </c>
      <c r="E78" s="58" t="n"/>
      <c r="F78" s="58" t="n"/>
      <c r="G78" s="58" t="inlineStr">
        <is>
          <t>Never</t>
        </is>
      </c>
    </row>
    <row r="79" ht="15" customHeight="1" s="33">
      <c r="A79" s="58" t="inlineStr">
        <is>
          <t>Contraception_hormonale</t>
        </is>
      </c>
      <c r="B79" s="58" t="inlineStr">
        <is>
          <t>Passée</t>
        </is>
      </c>
      <c r="C79" s="59" t="n">
        <v>1</v>
      </c>
      <c r="D79" s="59" t="n">
        <v>1</v>
      </c>
      <c r="E79" s="58" t="n"/>
      <c r="F79" s="58" t="n"/>
      <c r="G79" s="58" t="inlineStr">
        <is>
          <t>Past</t>
        </is>
      </c>
    </row>
    <row r="80" ht="23.85" customHeight="1" s="33">
      <c r="A80" s="58" t="inlineStr">
        <is>
          <t>Contraception_hormonale</t>
        </is>
      </c>
      <c r="B80" s="58" t="inlineStr">
        <is>
          <t>Actuelle</t>
        </is>
      </c>
      <c r="C80" s="59" t="n">
        <v>2</v>
      </c>
      <c r="D80" s="59" t="n">
        <v>2</v>
      </c>
      <c r="E80" s="58" t="n"/>
      <c r="F80" s="58" t="inlineStr">
        <is>
          <t>Peut être un traitement de la maladie → causalité inverse possible.</t>
        </is>
      </c>
      <c r="G80" s="58" t="inlineStr">
        <is>
          <t>Current</t>
        </is>
      </c>
    </row>
    <row r="81" ht="15" customHeight="1" s="33">
      <c r="A81" s="50" t="inlineStr">
        <is>
          <t>Antecedent_familial</t>
        </is>
      </c>
      <c r="B81" s="41" t="inlineStr">
        <is>
          <t>Oui</t>
        </is>
      </c>
      <c r="C81" s="51" t="n">
        <v>1</v>
      </c>
      <c r="D81" s="51" t="n">
        <v>0</v>
      </c>
      <c r="E81" s="41" t="n"/>
      <c r="F81" s="41" t="n"/>
      <c r="G81" s="41" t="inlineStr">
        <is>
          <t>Yes</t>
        </is>
      </c>
    </row>
    <row r="82" ht="15" customHeight="1" s="33">
      <c r="A82" s="41" t="inlineStr">
        <is>
          <t>Antecedent_familial</t>
        </is>
      </c>
      <c r="B82" s="41" t="inlineStr">
        <is>
          <t>Non</t>
        </is>
      </c>
      <c r="C82" s="51" t="n">
        <v>0</v>
      </c>
      <c r="D82" s="51" t="n">
        <v>1</v>
      </c>
      <c r="E82" s="41" t="n"/>
      <c r="F82" s="41" t="n"/>
      <c r="G82" s="41" t="inlineStr">
        <is>
          <t>No</t>
        </is>
      </c>
    </row>
    <row r="83" ht="15" customHeight="1" s="33">
      <c r="A83" s="41" t="inlineStr">
        <is>
          <t>Antecedent_familial</t>
        </is>
      </c>
      <c r="B83" s="41" t="inlineStr">
        <is>
          <t>Inconnu</t>
        </is>
      </c>
      <c r="C83" s="60" t="inlineStr">
        <is>
          <t>NA_inconnu</t>
        </is>
      </c>
      <c r="D83" s="51" t="n"/>
      <c r="E83" s="41" t="n"/>
      <c r="F83" s="41" t="n"/>
      <c r="G83" s="41" t="inlineStr">
        <is>
          <t>Unknown</t>
        </is>
      </c>
    </row>
    <row r="84" ht="15" customHeight="1" s="33">
      <c r="A84" s="40" t="inlineStr">
        <is>
          <t>Tabagisme</t>
        </is>
      </c>
      <c r="B84" s="58" t="inlineStr">
        <is>
          <t>Non-fumeuse</t>
        </is>
      </c>
      <c r="C84" s="59" t="n">
        <v>0</v>
      </c>
      <c r="D84" s="59" t="n">
        <v>0</v>
      </c>
      <c r="E84" s="58" t="inlineStr">
        <is>
          <t>Non fumeuse</t>
        </is>
      </c>
      <c r="F84" s="58" t="n"/>
      <c r="G84" s="58" t="inlineStr">
        <is>
          <t>Non-smoker</t>
        </is>
      </c>
    </row>
    <row r="85" ht="15" customHeight="1" s="33">
      <c r="A85" s="58" t="inlineStr">
        <is>
          <t>Tabagisme</t>
        </is>
      </c>
      <c r="B85" s="58" t="inlineStr">
        <is>
          <t>Ancienne fumeuse</t>
        </is>
      </c>
      <c r="C85" s="59" t="n">
        <v>1</v>
      </c>
      <c r="D85" s="59" t="n">
        <v>1</v>
      </c>
      <c r="E85" s="58" t="n"/>
      <c r="F85" s="58" t="n"/>
      <c r="G85" s="58" t="inlineStr">
        <is>
          <t>Former smoker</t>
        </is>
      </c>
    </row>
    <row r="86" ht="15" customHeight="1" s="33">
      <c r="A86" s="58" t="inlineStr">
        <is>
          <t>Tabagisme</t>
        </is>
      </c>
      <c r="B86" s="58" t="inlineStr">
        <is>
          <t>Fumeuse</t>
        </is>
      </c>
      <c r="C86" s="59" t="n">
        <v>2</v>
      </c>
      <c r="D86" s="59" t="n">
        <v>2</v>
      </c>
      <c r="E86" s="58" t="n"/>
      <c r="F86" s="58" t="n"/>
      <c r="G86" s="58" t="inlineStr">
        <is>
          <t>Smoker</t>
        </is>
      </c>
    </row>
    <row r="87" ht="15" customHeight="1" s="33">
      <c r="A87" s="50" t="inlineStr">
        <is>
          <t>Activite_physique</t>
        </is>
      </c>
      <c r="B87" s="41" t="inlineStr">
        <is>
          <t>Faible</t>
        </is>
      </c>
      <c r="C87" s="51" t="n">
        <v>0</v>
      </c>
      <c r="D87" s="51" t="n">
        <v>0</v>
      </c>
      <c r="E87" s="41" t="n"/>
      <c r="F87" s="41" t="n"/>
      <c r="G87" s="41" t="inlineStr">
        <is>
          <t>Low</t>
        </is>
      </c>
    </row>
    <row r="88" ht="15" customHeight="1" s="33">
      <c r="A88" s="41" t="inlineStr">
        <is>
          <t>Activite_physique</t>
        </is>
      </c>
      <c r="B88" s="41" t="inlineStr">
        <is>
          <t>Modéré</t>
        </is>
      </c>
      <c r="C88" s="51" t="n">
        <v>1</v>
      </c>
      <c r="D88" s="51" t="n">
        <v>1</v>
      </c>
      <c r="E88" s="41" t="inlineStr">
        <is>
          <t>Modérée</t>
        </is>
      </c>
      <c r="F88" s="41" t="inlineStr">
        <is>
          <t>Le formulaire écrit au masculin, la v1 au féminin.</t>
        </is>
      </c>
      <c r="G88" s="41" t="inlineStr">
        <is>
          <t>Moderate</t>
        </is>
      </c>
    </row>
    <row r="89" ht="15" customHeight="1" s="33">
      <c r="A89" s="41" t="inlineStr">
        <is>
          <t>Activite_physique</t>
        </is>
      </c>
      <c r="B89" s="41" t="inlineStr">
        <is>
          <t>Élevé</t>
        </is>
      </c>
      <c r="C89" s="51" t="n">
        <v>2</v>
      </c>
      <c r="D89" s="51" t="n">
        <v>2</v>
      </c>
      <c r="E89" s="41" t="inlineStr">
        <is>
          <t>Élevée | Elevé | Elevee</t>
        </is>
      </c>
      <c r="F89" s="41" t="n"/>
      <c r="G89" s="41" t="inlineStr">
        <is>
          <t>High</t>
        </is>
      </c>
    </row>
    <row r="90" ht="15" customHeight="1" s="33">
      <c r="A90" s="40" t="inlineStr">
        <is>
          <t>Consommation_alcool</t>
        </is>
      </c>
      <c r="B90" s="58" t="inlineStr">
        <is>
          <t>Jamais</t>
        </is>
      </c>
      <c r="C90" s="59" t="n">
        <v>0</v>
      </c>
      <c r="D90" s="59" t="n">
        <v>0</v>
      </c>
      <c r="E90" s="58" t="inlineStr">
        <is>
          <t>Non</t>
        </is>
      </c>
      <c r="F90" s="58" t="inlineStr">
        <is>
          <t>La v1 du dictionnaire écrivait « Non ».</t>
        </is>
      </c>
      <c r="G90" s="58" t="inlineStr">
        <is>
          <t>Never</t>
        </is>
      </c>
    </row>
    <row r="91" ht="15" customHeight="1" s="33">
      <c r="A91" s="58" t="inlineStr">
        <is>
          <t>Consommation_alcool</t>
        </is>
      </c>
      <c r="B91" s="58" t="inlineStr">
        <is>
          <t>Occasionnelle</t>
        </is>
      </c>
      <c r="C91" s="59" t="n">
        <v>1</v>
      </c>
      <c r="D91" s="59" t="n">
        <v>1</v>
      </c>
      <c r="E91" s="58" t="n"/>
      <c r="F91" s="58" t="n"/>
      <c r="G91" s="58" t="inlineStr">
        <is>
          <t>Occasional</t>
        </is>
      </c>
    </row>
    <row r="92" ht="15" customHeight="1" s="33">
      <c r="A92" s="58" t="inlineStr">
        <is>
          <t>Consommation_alcool</t>
        </is>
      </c>
      <c r="B92" s="58" t="inlineStr">
        <is>
          <t>Régulière</t>
        </is>
      </c>
      <c r="C92" s="59" t="n">
        <v>2</v>
      </c>
      <c r="D92" s="59" t="n">
        <v>2</v>
      </c>
      <c r="E92" s="58" t="n"/>
      <c r="F92" s="58" t="n"/>
      <c r="G92" s="58" t="inlineStr">
        <is>
          <t>Regular</t>
        </is>
      </c>
    </row>
    <row r="93" ht="15" customHeight="1" s="33">
      <c r="A93" s="50" t="inlineStr">
        <is>
          <t>SII</t>
        </is>
      </c>
      <c r="B93" s="41" t="inlineStr">
        <is>
          <t>Oui</t>
        </is>
      </c>
      <c r="C93" s="51" t="n">
        <v>1</v>
      </c>
      <c r="D93" s="51" t="n">
        <v>0</v>
      </c>
      <c r="E93" s="41" t="n"/>
      <c r="F93" s="41" t="n"/>
      <c r="G93" s="41" t="inlineStr">
        <is>
          <t>Yes</t>
        </is>
      </c>
    </row>
    <row r="94" ht="15" customHeight="1" s="33">
      <c r="A94" s="41" t="inlineStr">
        <is>
          <t>SII</t>
        </is>
      </c>
      <c r="B94" s="41" t="inlineStr">
        <is>
          <t>Non</t>
        </is>
      </c>
      <c r="C94" s="51" t="n">
        <v>0</v>
      </c>
      <c r="D94" s="51" t="n">
        <v>1</v>
      </c>
      <c r="E94" s="41" t="n"/>
      <c r="F94" s="41" t="n"/>
      <c r="G94" s="41" t="inlineStr">
        <is>
          <t>No</t>
        </is>
      </c>
    </row>
    <row r="95" ht="15" customHeight="1" s="33">
      <c r="A95" s="41" t="inlineStr">
        <is>
          <t>SII</t>
        </is>
      </c>
      <c r="B95" s="41" t="inlineStr">
        <is>
          <t>Non renseigné</t>
        </is>
      </c>
      <c r="C95" s="60" t="inlineStr">
        <is>
          <t>NA_non_renseigne</t>
        </is>
      </c>
      <c r="D95" s="51" t="n"/>
      <c r="E95" s="41" t="n"/>
      <c r="F95" s="41" t="n"/>
      <c r="G95" s="41" t="inlineStr">
        <is>
          <t>Not reported</t>
        </is>
      </c>
    </row>
    <row r="96" ht="15" customHeight="1" s="33">
      <c r="A96" s="40" t="inlineStr">
        <is>
          <t>Maladie_auto_immune</t>
        </is>
      </c>
      <c r="B96" s="58" t="inlineStr">
        <is>
          <t>Oui</t>
        </is>
      </c>
      <c r="C96" s="59" t="n">
        <v>1</v>
      </c>
      <c r="D96" s="59" t="n">
        <v>0</v>
      </c>
      <c r="E96" s="58" t="n"/>
      <c r="F96" s="58" t="n"/>
      <c r="G96" s="58" t="inlineStr">
        <is>
          <t>Yes</t>
        </is>
      </c>
    </row>
    <row r="97" ht="15" customHeight="1" s="33">
      <c r="A97" s="58" t="inlineStr">
        <is>
          <t>Maladie_auto_immune</t>
        </is>
      </c>
      <c r="B97" s="58" t="inlineStr">
        <is>
          <t>Non</t>
        </is>
      </c>
      <c r="C97" s="59" t="n">
        <v>0</v>
      </c>
      <c r="D97" s="59" t="n">
        <v>1</v>
      </c>
      <c r="E97" s="58" t="n"/>
      <c r="F97" s="58" t="n"/>
      <c r="G97" s="58" t="inlineStr">
        <is>
          <t>No</t>
        </is>
      </c>
    </row>
    <row r="98" ht="15" customHeight="1" s="33">
      <c r="A98" s="58" t="inlineStr">
        <is>
          <t>Maladie_auto_immune</t>
        </is>
      </c>
      <c r="B98" s="58" t="inlineStr">
        <is>
          <t>Non renseigné</t>
        </is>
      </c>
      <c r="C98" s="61" t="inlineStr">
        <is>
          <t>NA_non_renseigne</t>
        </is>
      </c>
      <c r="D98" s="59" t="n"/>
      <c r="E98" s="58" t="n"/>
      <c r="F98" s="58" t="n"/>
      <c r="G98" s="58" t="inlineStr">
        <is>
          <t>Not reported</t>
        </is>
      </c>
    </row>
    <row r="99">
      <c r="A99" s="58" t="inlineStr">
        <is>
          <t>Source_canal</t>
        </is>
      </c>
      <c r="B99" s="58" t="inlineStr">
        <is>
          <t>endoespoir</t>
        </is>
      </c>
      <c r="C99" s="61" t="n">
        <v>1</v>
      </c>
      <c r="D99" s="59" t="n">
        <v>0</v>
      </c>
      <c r="E99" s="58" t="inlineStr">
        <is>
          <t>EndoEspoir</t>
        </is>
      </c>
      <c r="F99" s="58" t="inlineStr">
        <is>
          <t>—</t>
        </is>
      </c>
      <c r="G99" s="58" t="inlineStr">
        <is>
          <t>—</t>
        </is>
      </c>
    </row>
    <row r="100">
      <c r="A100" s="58" t="inlineStr">
        <is>
          <t>Source_canal</t>
        </is>
      </c>
      <c r="B100" s="58" t="inlineStr">
        <is>
          <t>endomind</t>
        </is>
      </c>
      <c r="C100" s="61" t="n">
        <v>2</v>
      </c>
      <c r="D100" s="59" t="n">
        <v>1</v>
      </c>
      <c r="E100" s="58" t="inlineStr">
        <is>
          <t>EndoMind</t>
        </is>
      </c>
      <c r="F100" s="58" t="inlineStr">
        <is>
          <t>—</t>
        </is>
      </c>
      <c r="G100" s="58" t="inlineStr">
        <is>
          <t>—</t>
        </is>
      </c>
    </row>
    <row r="101">
      <c r="A101" s="58" t="inlineStr">
        <is>
          <t>Source_canal</t>
        </is>
      </c>
      <c r="B101" s="58" t="inlineStr">
        <is>
          <t>endoaction</t>
        </is>
      </c>
      <c r="C101" s="61" t="n">
        <v>3</v>
      </c>
      <c r="D101" s="59" t="n">
        <v>2</v>
      </c>
      <c r="E101" s="58" t="inlineStr">
        <is>
          <t>EndoAction</t>
        </is>
      </c>
      <c r="F101" s="58" t="inlineStr">
        <is>
          <t>—</t>
        </is>
      </c>
      <c r="G101" s="58" t="inlineStr">
        <is>
          <t>—</t>
        </is>
      </c>
    </row>
    <row r="102">
      <c r="A102" s="58" t="inlineStr">
        <is>
          <t>Source_canal</t>
        </is>
      </c>
      <c r="B102" s="58" t="inlineStr">
        <is>
          <t>social</t>
        </is>
      </c>
      <c r="C102" s="61" t="n">
        <v>4</v>
      </c>
      <c r="D102" s="59" t="n">
        <v>3</v>
      </c>
      <c r="E102" s="58" t="inlineStr">
        <is>
          <t>reseaux sociaux | instagram</t>
        </is>
      </c>
      <c r="F102" s="58" t="inlineStr">
        <is>
          <t>—</t>
        </is>
      </c>
      <c r="G102" s="58" t="inlineStr">
        <is>
          <t>—</t>
        </is>
      </c>
    </row>
    <row r="103">
      <c r="A103" s="58" t="inlineStr">
        <is>
          <t>Source_canal</t>
        </is>
      </c>
      <c r="B103" s="58" t="inlineStr">
        <is>
          <t>autre</t>
        </is>
      </c>
      <c r="C103" s="61" t="n">
        <v>5</v>
      </c>
      <c r="D103" s="59" t="n">
        <v>4</v>
      </c>
      <c r="E103" s="58" t="inlineStr">
        <is>
          <t>flyer | QR | bouche-a-oreille</t>
        </is>
      </c>
      <c r="F103" s="58" t="inlineStr">
        <is>
          <t>—</t>
        </is>
      </c>
      <c r="G103" s="58" t="inlineStr">
        <is>
          <t>—</t>
        </is>
      </c>
    </row>
    <row r="104">
      <c r="A104" s="58" t="inlineStr">
        <is>
          <t>Source_canal</t>
        </is>
      </c>
      <c r="B104" s="58" t="inlineStr">
        <is>
          <t>communaute_intl</t>
        </is>
      </c>
      <c r="C104" s="61" t="n">
        <v>6</v>
      </c>
      <c r="D104" s="59" t="n">
        <v>5</v>
      </c>
      <c r="E104" s="58" t="inlineStr">
        <is>
          <t>anglais | english | intl</t>
        </is>
      </c>
      <c r="F104" s="58" t="inlineStr">
        <is>
          <t>—</t>
        </is>
      </c>
      <c r="G104" s="58" t="inlineStr">
        <is>
          <t>—</t>
        </is>
      </c>
    </row>
    <row r="105">
      <c r="A105" s="58" t="inlineStr">
        <is>
          <t>Source_canal</t>
        </is>
      </c>
      <c r="B105" s="58" t="inlineStr">
        <is>
          <t>inconnu</t>
        </is>
      </c>
      <c r="C105" s="61" t="inlineStr">
        <is>
          <t>NA_inconnu</t>
        </is>
      </c>
      <c r="D105" s="59" t="n"/>
      <c r="E105" s="58" t="inlineStr">
        <is>
          <t>989 | (vide)</t>
        </is>
      </c>
      <c r="F105" s="58" t="inlineStr">
        <is>
          <t>—</t>
        </is>
      </c>
      <c r="G105" s="58" t="inlineStr">
        <is>
          <t>—</t>
        </is>
      </c>
    </row>
    <row r="106">
      <c r="A106" s="58" t="inlineStr">
        <is>
          <t>Langue_formulaire</t>
        </is>
      </c>
      <c r="B106" s="58" t="inlineStr">
        <is>
          <t>fr</t>
        </is>
      </c>
      <c r="C106" s="61" t="n">
        <v>0</v>
      </c>
      <c r="D106" s="59" t="n">
        <v>0</v>
      </c>
      <c r="E106" s="58" t="inlineStr">
        <is>
          <t>français | FR</t>
        </is>
      </c>
      <c r="F106" s="58" t="inlineStr">
        <is>
          <t>—</t>
        </is>
      </c>
      <c r="G106" s="58" t="inlineStr">
        <is>
          <t>—</t>
        </is>
      </c>
    </row>
    <row r="107">
      <c r="A107" s="58" t="inlineStr">
        <is>
          <t>Langue_formulaire</t>
        </is>
      </c>
      <c r="B107" s="58" t="inlineStr">
        <is>
          <t>en</t>
        </is>
      </c>
      <c r="C107" s="61" t="n">
        <v>1</v>
      </c>
      <c r="D107" s="59" t="n">
        <v>1</v>
      </c>
      <c r="E107" s="58" t="inlineStr">
        <is>
          <t>anglais | EN | english</t>
        </is>
      </c>
      <c r="F107" s="58" t="inlineStr">
        <is>
          <t>—</t>
        </is>
      </c>
      <c r="G107" s="58" t="inlineStr">
        <is>
          <t>—</t>
        </is>
      </c>
    </row>
  </sheetData>
  <autoFilter ref="A4:F9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33" min="1" max="1"/>
    <col width="58" customWidth="1" style="33" min="2" max="2"/>
    <col width="9" customWidth="1" style="33" min="3" max="3"/>
    <col width="17" customWidth="1" style="33" min="4" max="4"/>
    <col width="12" customWidth="1" style="33" min="5" max="5"/>
    <col width="20" customWidth="1" style="33" min="6" max="6"/>
    <col width="18" customWidth="1" style="33" min="7" max="7"/>
    <col width="22" customWidth="1" style="33" min="8" max="8"/>
    <col width="60" customWidth="1" style="33" min="9" max="9"/>
  </cols>
  <sheetData>
    <row r="1">
      <c r="A1" s="38" t="inlineStr">
        <is>
          <t>Formulaires en ligne — registre</t>
        </is>
      </c>
    </row>
    <row r="2">
      <c r="A2" s="43" t="inlineStr">
        <is>
          <t>Source de vérité de ingest.py : chaque fichier exporté est rattaché à une ligne par son suffixe. Le jeu de clés d'export est vérifié à l'import (C-14). AUCUN formulaire ne doit être modifié tant qu'il collecte : une modification en cours de route rend l'export inexploitable, car rien n'y indique quelle ligne suit quelle structure.</t>
        </is>
      </c>
    </row>
    <row r="4">
      <c r="A4" s="39" t="inlineStr">
        <is>
          <t>Suffixe</t>
        </is>
      </c>
      <c r="B4" s="39" t="inlineStr">
        <is>
          <t>URL</t>
        </is>
      </c>
      <c r="C4" s="39" t="inlineStr">
        <is>
          <t>Langue</t>
        </is>
      </c>
      <c r="D4" s="39" t="inlineStr">
        <is>
          <t>Source_canal</t>
        </is>
      </c>
      <c r="E4" s="39" t="inlineStr">
        <is>
          <t>Jeu de clés</t>
        </is>
      </c>
      <c r="F4" s="39" t="inlineStr">
        <is>
          <t>Statut</t>
        </is>
      </c>
      <c r="G4" s="39" t="inlineStr">
        <is>
          <t>Réponses au 27/08</t>
        </is>
      </c>
      <c r="H4" s="39" t="inlineStr">
        <is>
          <t>sid de test à exclure</t>
        </is>
      </c>
      <c r="I4" s="39" t="inlineStr">
        <is>
          <t>Commentaire</t>
        </is>
      </c>
    </row>
    <row r="5">
      <c r="A5" s="40" t="inlineStr">
        <is>
          <t>989</t>
        </is>
      </c>
      <c r="B5" s="40" t="inlineStr">
        <is>
          <t>https://framaforms.org/endometriose-questionnaire-1781697989</t>
        </is>
      </c>
      <c r="C5" s="40" t="inlineStr">
        <is>
          <t>fr</t>
        </is>
      </c>
      <c r="D5" s="40" t="inlineStr">
        <is>
          <t>inconnu</t>
        </is>
      </c>
      <c r="E5" s="40" t="inlineStr">
        <is>
          <t>FR</t>
        </is>
      </c>
      <c r="F5" s="40" t="inlineStr">
        <is>
          <t>retiré mais ouvert</t>
        </is>
      </c>
      <c r="G5" s="40" t="n">
        <v>154</v>
      </c>
      <c r="H5" s="40" t="inlineStr">
        <is>
          <t>—</t>
        </is>
      </c>
      <c r="I5" s="40" t="inlineStr">
        <is>
          <t>Lien initial. Ne plus diffuser. Laissé ouvert : les supports imprimés circulent encore.</t>
        </is>
      </c>
    </row>
    <row r="6">
      <c r="A6" s="40" t="inlineStr">
        <is>
          <t>497</t>
        </is>
      </c>
      <c r="B6" s="40" t="inlineStr">
        <is>
          <t>https://framaforms.org/endometriose-questionnaire-1786640497</t>
        </is>
      </c>
      <c r="C6" s="40" t="inlineStr">
        <is>
          <t>fr</t>
        </is>
      </c>
      <c r="D6" s="40" t="inlineStr">
        <is>
          <t>social</t>
        </is>
      </c>
      <c r="E6" s="40" t="inlineStr">
        <is>
          <t>FR</t>
        </is>
      </c>
      <c r="F6" s="40" t="inlineStr">
        <is>
          <t>actif</t>
        </is>
      </c>
      <c r="G6" s="40" t="n">
        <v>0</v>
      </c>
      <c r="H6" s="40" t="inlineStr">
        <is>
          <t>35090097</t>
        </is>
      </c>
      <c r="I6" s="40" t="inlineStr">
        <is>
          <t>Réseaux sociaux (association étudiante).</t>
        </is>
      </c>
    </row>
    <row r="7">
      <c r="A7" s="40" t="inlineStr">
        <is>
          <t>526</t>
        </is>
      </c>
      <c r="B7" s="40" t="inlineStr">
        <is>
          <t>https://framaforms.org/endometriose-questionnaire-1786640526</t>
        </is>
      </c>
      <c r="C7" s="40" t="inlineStr">
        <is>
          <t>fr</t>
        </is>
      </c>
      <c r="D7" s="40" t="inlineStr">
        <is>
          <t>endoespoir</t>
        </is>
      </c>
      <c r="E7" s="40" t="inlineStr">
        <is>
          <t>FR</t>
        </is>
      </c>
      <c r="F7" s="40" t="inlineStr">
        <is>
          <t>actif</t>
        </is>
      </c>
      <c r="G7" s="40" t="n">
        <v>0</v>
      </c>
      <c r="H7" s="40" t="inlineStr">
        <is>
          <t>35090113</t>
        </is>
      </c>
      <c r="I7" s="40" t="inlineStr">
        <is>
          <t>EndoEspoir.</t>
        </is>
      </c>
    </row>
    <row r="8">
      <c r="A8" s="40" t="inlineStr">
        <is>
          <t>559</t>
        </is>
      </c>
      <c r="B8" s="40" t="inlineStr">
        <is>
          <t>https://framaforms.org/endometriose-questionnaire-1786640559</t>
        </is>
      </c>
      <c r="C8" s="40" t="inlineStr">
        <is>
          <t>fr</t>
        </is>
      </c>
      <c r="D8" s="40" t="inlineStr">
        <is>
          <t>endomind</t>
        </is>
      </c>
      <c r="E8" s="40" t="inlineStr">
        <is>
          <t>FR</t>
        </is>
      </c>
      <c r="F8" s="40" t="inlineStr">
        <is>
          <t>actif</t>
        </is>
      </c>
      <c r="G8" s="40" t="n">
        <v>0</v>
      </c>
      <c r="H8" s="40" t="inlineStr">
        <is>
          <t>35090126</t>
        </is>
      </c>
      <c r="I8" s="40" t="inlineStr">
        <is>
          <t>EndoMind. Attention : suffixe adjacent à 560.</t>
        </is>
      </c>
    </row>
    <row r="9">
      <c r="A9" s="40" t="inlineStr">
        <is>
          <t>560</t>
        </is>
      </c>
      <c r="B9" s="40" t="inlineStr">
        <is>
          <t>https://framaforms.org/endometriose-questionnaire-1786640560</t>
        </is>
      </c>
      <c r="C9" s="40" t="inlineStr">
        <is>
          <t>fr</t>
        </is>
      </c>
      <c r="D9" s="40" t="inlineStr">
        <is>
          <t>endoaction</t>
        </is>
      </c>
      <c r="E9" s="40" t="inlineStr">
        <is>
          <t>FR</t>
        </is>
      </c>
      <c r="F9" s="40" t="inlineStr">
        <is>
          <t>actif</t>
        </is>
      </c>
      <c r="G9" s="40" t="n">
        <v>0</v>
      </c>
      <c r="H9" s="40" t="inlineStr">
        <is>
          <t>35090138</t>
        </is>
      </c>
      <c r="I9" s="40" t="inlineStr">
        <is>
          <t>EndoAction. Attention : suffixe adjacent à 559.</t>
        </is>
      </c>
    </row>
    <row r="10">
      <c r="A10" s="40" t="inlineStr">
        <is>
          <t>597</t>
        </is>
      </c>
      <c r="B10" s="40" t="inlineStr">
        <is>
          <t>https://framaforms.org/endometriose-questionnaire-1786640597</t>
        </is>
      </c>
      <c r="C10" s="40" t="inlineStr">
        <is>
          <t>fr</t>
        </is>
      </c>
      <c r="D10" s="40" t="inlineStr">
        <is>
          <t>autre</t>
        </is>
      </c>
      <c r="E10" s="40" t="inlineStr">
        <is>
          <t>FR</t>
        </is>
      </c>
      <c r="F10" s="40" t="inlineStr">
        <is>
          <t>actif</t>
        </is>
      </c>
      <c r="G10" s="40" t="n">
        <v>26</v>
      </c>
      <c r="H10" s="40" t="inlineStr">
        <is>
          <t>35090154</t>
        </is>
      </c>
      <c r="I10" s="40" t="inlineStr">
        <is>
          <t>Proches, transferts, listes. Meilleure source de témoins à ce jour.</t>
        </is>
      </c>
    </row>
    <row r="11">
      <c r="A11" s="40" t="inlineStr">
        <is>
          <t>178</t>
        </is>
      </c>
      <c r="B11" s="40" t="inlineStr">
        <is>
          <t>https://framaforms.org/endometriosis-questionnaire-1781699178</t>
        </is>
      </c>
      <c r="C11" s="40" t="inlineStr">
        <is>
          <t>en</t>
        </is>
      </c>
      <c r="D11" s="40" t="inlineStr">
        <is>
          <t>communaute_intl</t>
        </is>
      </c>
      <c r="E11" s="40" t="inlineStr">
        <is>
          <t>EN</t>
        </is>
      </c>
      <c r="F11" s="40" t="inlineStr">
        <is>
          <t>actif</t>
        </is>
      </c>
      <c r="G11" s="40" t="n">
        <v>11</v>
      </c>
      <c r="H11" s="40" t="inlineStr">
        <is>
          <t>34557386</t>
        </is>
      </c>
      <c r="I11" s="40" t="inlineStr">
        <is>
          <t>Version anglaise. Jeu de clés PROPRE, ordre des colonnes identique au FR.</t>
        </is>
      </c>
    </row>
    <row r="13">
      <c r="A13" s="43" t="inlineStr">
        <is>
          <t>Jeu de clés FR : les 6 formulaires français ont des en-têtes strictement identiques — le clonage Framaforms conserve les clés de champ. Une seule table de correspondance suffit (colonne Cle_export_fr).</t>
        </is>
      </c>
    </row>
    <row r="14">
      <c r="A14" s="43" t="inlineStr">
        <is>
          <t>Jeu de clés EN : le formulaire 178 possède ses propres clés (colonne Cle_export_en). L'ordre des colonnes est identique au FR, mais ingest.py doit mapper par CLÉ, jamais par position.</t>
        </is>
      </c>
    </row>
    <row r="15">
      <c r="A15" s="43" t="inlineStr">
        <is>
          <t>Biais commun à TOUS les canaux : l'URL contient « endometriose »/« endometriosis ». Une personne sans symptôme peut en conclure que l'enquête ne la concerne pas. Auto-sélection systématique dans le sens d'une sous-représentation des témoins asymptomatiques — à documenter en limite, non corrigeable a posteriori. Pour tout futur formulaire : demander un titre neutre, l'alias d'URL en découle.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A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2" min="1" max="3"/>
    <col width="16" customWidth="1" style="32" min="4" max="4"/>
    <col width="15" customWidth="1" style="32" min="5" max="5"/>
    <col width="17" customWidth="1" style="32" min="6" max="6"/>
    <col width="19" customWidth="1" style="32" min="7" max="8"/>
    <col width="15" customWidth="1" style="32" min="9" max="10"/>
    <col width="20" customWidth="1" style="32" min="11" max="11"/>
    <col width="14" customWidth="1" style="32" min="12" max="13"/>
    <col width="22" customWidth="1" style="32" min="14" max="14"/>
    <col width="24" customWidth="1" style="32" min="15" max="15"/>
    <col width="19" customWidth="1" style="32" min="16" max="16"/>
    <col width="14" customWidth="1" style="32" min="17" max="18"/>
    <col width="24" customWidth="1" style="32" min="19" max="19"/>
    <col width="22" customWidth="1" style="32" min="20" max="20"/>
    <col width="14" customWidth="1" style="32" min="21" max="21"/>
    <col width="20" customWidth="1" style="32" min="22" max="22"/>
    <col width="22" customWidth="1" style="32" min="23" max="23"/>
    <col width="14" customWidth="1" style="32" min="24" max="24"/>
    <col width="22" customWidth="1" style="32" min="25" max="25"/>
    <col width="18" customWidth="1" style="33" min="26" max="26"/>
    <col width="18" customWidth="1" style="33" min="27" max="27"/>
  </cols>
  <sheetData>
    <row r="1" ht="17.35" customHeight="1" s="33">
      <c r="A1" s="38" t="inlineStr">
        <is>
          <t>Listes de valeurs — support des menus déroulants de la feuille de collecte</t>
        </is>
      </c>
    </row>
    <row r="2" ht="15" customHeight="1" s="33">
      <c r="A2" s="43" t="inlineStr">
        <is>
          <t>Feuille technique. Une colonne par variable. Modifier ici met à jour les menus déroulants.</t>
        </is>
      </c>
    </row>
    <row r="4" ht="43.5" customHeight="1" s="33">
      <c r="A4" s="39" t="inlineStr">
        <is>
          <t>Groupe</t>
        </is>
      </c>
      <c r="B4" s="39" t="inlineStr">
        <is>
          <t>Stade</t>
        </is>
      </c>
      <c r="C4" s="39" t="inlineStr">
        <is>
          <t>Tranche_age</t>
        </is>
      </c>
      <c r="D4" s="39" t="inlineStr">
        <is>
          <t>IMC_categorie</t>
        </is>
      </c>
      <c r="E4" s="39" t="inlineStr">
        <is>
          <t>Age_menarche</t>
        </is>
      </c>
      <c r="F4" s="39" t="inlineStr">
        <is>
          <t>Longueur_cycle</t>
        </is>
      </c>
      <c r="G4" s="39" t="inlineStr">
        <is>
          <t>Regularite_cycle</t>
        </is>
      </c>
      <c r="H4" s="39" t="inlineStr">
        <is>
          <t>Abondance_regles</t>
        </is>
      </c>
      <c r="I4" s="39" t="inlineStr">
        <is>
          <t>Duree_regles</t>
        </is>
      </c>
      <c r="J4" s="39" t="inlineStr">
        <is>
          <t>Dysmenorrhee</t>
        </is>
      </c>
      <c r="K4" s="39" t="inlineStr">
        <is>
          <t>Douleur_pelvienne</t>
        </is>
      </c>
      <c r="L4" s="39" t="inlineStr">
        <is>
          <t>Dyspareunie</t>
        </is>
      </c>
      <c r="M4" s="39" t="inlineStr">
        <is>
          <t>Dyschesie</t>
        </is>
      </c>
      <c r="N4" s="39" t="inlineStr">
        <is>
          <t>Symptomes_cycliques</t>
        </is>
      </c>
      <c r="O4" s="39" t="inlineStr">
        <is>
          <t>Age_apparition_symptomes</t>
        </is>
      </c>
      <c r="P4" s="39" t="inlineStr">
        <is>
          <t>Delai_diagnostic</t>
        </is>
      </c>
      <c r="Q4" s="39" t="inlineStr">
        <is>
          <t>Parite</t>
        </is>
      </c>
      <c r="R4" s="39" t="inlineStr">
        <is>
          <t>Infertilite</t>
        </is>
      </c>
      <c r="S4" s="39" t="inlineStr">
        <is>
          <t>Contraception_hormonale</t>
        </is>
      </c>
      <c r="T4" s="39" t="inlineStr">
        <is>
          <t>Antecedent_familial</t>
        </is>
      </c>
      <c r="U4" s="39" t="inlineStr">
        <is>
          <t>Tabagisme</t>
        </is>
      </c>
      <c r="V4" s="39" t="inlineStr">
        <is>
          <t>Activite_physique</t>
        </is>
      </c>
      <c r="W4" s="39" t="inlineStr">
        <is>
          <t>Consommation_alcool</t>
        </is>
      </c>
      <c r="X4" s="39" t="inlineStr">
        <is>
          <t>SII</t>
        </is>
      </c>
      <c r="Y4" s="39" t="inlineStr">
        <is>
          <t>Maladie_auto_immune</t>
        </is>
      </c>
      <c r="Z4" s="39" t="inlineStr">
        <is>
          <t>Source_canal</t>
        </is>
      </c>
      <c r="AA4" s="39" t="inlineStr">
        <is>
          <t>Langue_formulaire</t>
        </is>
      </c>
    </row>
    <row r="5" ht="15" customHeight="1" s="33">
      <c r="A5" s="62" t="inlineStr">
        <is>
          <t>Cas</t>
        </is>
      </c>
      <c r="B5" s="62" t="inlineStr">
        <is>
          <t>I</t>
        </is>
      </c>
      <c r="C5" s="62" t="inlineStr">
        <is>
          <t>&lt;20</t>
        </is>
      </c>
      <c r="D5" s="62" t="inlineStr">
        <is>
          <t>Maigreur (&lt;18,5)</t>
        </is>
      </c>
      <c r="E5" s="62" t="inlineStr">
        <is>
          <t>≤10</t>
        </is>
      </c>
      <c r="F5" s="62" t="inlineStr">
        <is>
          <t>&lt;21 jours</t>
        </is>
      </c>
      <c r="G5" s="62" t="inlineStr">
        <is>
          <t>Régulier</t>
        </is>
      </c>
      <c r="H5" s="62" t="inlineStr">
        <is>
          <t>Faible</t>
        </is>
      </c>
      <c r="I5" s="62" t="inlineStr">
        <is>
          <t>≤3 jours</t>
        </is>
      </c>
      <c r="J5" s="62" t="inlineStr">
        <is>
          <t>Aucune</t>
        </is>
      </c>
      <c r="K5" s="62" t="inlineStr">
        <is>
          <t>Aucune</t>
        </is>
      </c>
      <c r="L5" s="62" t="inlineStr">
        <is>
          <t>Oui</t>
        </is>
      </c>
      <c r="M5" s="62" t="inlineStr">
        <is>
          <t>Oui</t>
        </is>
      </c>
      <c r="N5" s="62" t="inlineStr">
        <is>
          <t>Oui</t>
        </is>
      </c>
      <c r="O5" s="62" t="inlineStr">
        <is>
          <t>&lt;15</t>
        </is>
      </c>
      <c r="P5" s="62" t="inlineStr">
        <is>
          <t>&lt;2 ans</t>
        </is>
      </c>
      <c r="Q5" s="62" t="inlineStr">
        <is>
          <t>0</t>
        </is>
      </c>
      <c r="R5" s="62" t="inlineStr">
        <is>
          <t>Oui</t>
        </is>
      </c>
      <c r="S5" s="62" t="inlineStr">
        <is>
          <t>Jamais</t>
        </is>
      </c>
      <c r="T5" s="62" t="inlineStr">
        <is>
          <t>Oui</t>
        </is>
      </c>
      <c r="U5" s="62" t="inlineStr">
        <is>
          <t>Non-fumeuse</t>
        </is>
      </c>
      <c r="V5" s="62" t="inlineStr">
        <is>
          <t>Faible</t>
        </is>
      </c>
      <c r="W5" s="62" t="inlineStr">
        <is>
          <t>Jamais</t>
        </is>
      </c>
      <c r="X5" s="62" t="inlineStr">
        <is>
          <t>Oui</t>
        </is>
      </c>
      <c r="Y5" s="62" t="inlineStr">
        <is>
          <t>Oui</t>
        </is>
      </c>
      <c r="Z5" s="62" t="inlineStr">
        <is>
          <t>endoespoir</t>
        </is>
      </c>
      <c r="AA5" s="62" t="inlineStr">
        <is>
          <t>fr</t>
        </is>
      </c>
    </row>
    <row r="6" ht="15" customHeight="1" s="33">
      <c r="A6" s="62" t="inlineStr">
        <is>
          <t>Témoin</t>
        </is>
      </c>
      <c r="B6" s="62" t="inlineStr">
        <is>
          <t>II</t>
        </is>
      </c>
      <c r="C6" s="62" t="inlineStr">
        <is>
          <t>20-24</t>
        </is>
      </c>
      <c r="D6" s="62" t="inlineStr">
        <is>
          <t>Normal (18,5-24,9)</t>
        </is>
      </c>
      <c r="E6" s="62" t="inlineStr">
        <is>
          <t>11-12</t>
        </is>
      </c>
      <c r="F6" s="62" t="inlineStr">
        <is>
          <t>21-35 jours</t>
        </is>
      </c>
      <c r="G6" s="62" t="inlineStr">
        <is>
          <t>Irrégulier</t>
        </is>
      </c>
      <c r="H6" s="62" t="inlineStr">
        <is>
          <t>Normale</t>
        </is>
      </c>
      <c r="I6" s="62" t="inlineStr">
        <is>
          <t>4-7 jours</t>
        </is>
      </c>
      <c r="J6" s="62" t="inlineStr">
        <is>
          <t>Légère</t>
        </is>
      </c>
      <c r="K6" s="62" t="inlineStr">
        <is>
          <t>Légère</t>
        </is>
      </c>
      <c r="L6" s="62" t="inlineStr">
        <is>
          <t>Non</t>
        </is>
      </c>
      <c r="M6" s="62" t="inlineStr">
        <is>
          <t>Non</t>
        </is>
      </c>
      <c r="N6" s="62" t="inlineStr">
        <is>
          <t>Non</t>
        </is>
      </c>
      <c r="O6" s="62" t="inlineStr">
        <is>
          <t>15-19</t>
        </is>
      </c>
      <c r="P6" s="62" t="inlineStr">
        <is>
          <t>2-5 ans</t>
        </is>
      </c>
      <c r="Q6" s="62" t="inlineStr">
        <is>
          <t>1</t>
        </is>
      </c>
      <c r="R6" s="62" t="inlineStr">
        <is>
          <t>Non</t>
        </is>
      </c>
      <c r="S6" s="62" t="inlineStr">
        <is>
          <t>Passée</t>
        </is>
      </c>
      <c r="T6" s="62" t="inlineStr">
        <is>
          <t>Non</t>
        </is>
      </c>
      <c r="U6" s="62" t="inlineStr">
        <is>
          <t>Ancienne fumeuse</t>
        </is>
      </c>
      <c r="V6" s="62" t="inlineStr">
        <is>
          <t>Modéré</t>
        </is>
      </c>
      <c r="W6" s="62" t="inlineStr">
        <is>
          <t>Occasionnelle</t>
        </is>
      </c>
      <c r="X6" s="62" t="inlineStr">
        <is>
          <t>Non</t>
        </is>
      </c>
      <c r="Y6" s="62" t="inlineStr">
        <is>
          <t>Non</t>
        </is>
      </c>
      <c r="Z6" s="62" t="inlineStr">
        <is>
          <t>endomind</t>
        </is>
      </c>
      <c r="AA6" s="62" t="inlineStr">
        <is>
          <t>en</t>
        </is>
      </c>
    </row>
    <row r="7" ht="15" customHeight="1" s="33">
      <c r="B7" s="62" t="inlineStr">
        <is>
          <t>III</t>
        </is>
      </c>
      <c r="C7" s="62" t="inlineStr">
        <is>
          <t>25-29</t>
        </is>
      </c>
      <c r="D7" s="62" t="inlineStr">
        <is>
          <t>Surpoids (25-29,9)</t>
        </is>
      </c>
      <c r="E7" s="62" t="inlineStr">
        <is>
          <t>13-14</t>
        </is>
      </c>
      <c r="F7" s="62" t="inlineStr">
        <is>
          <t>&gt;35 jours</t>
        </is>
      </c>
      <c r="H7" s="62" t="inlineStr">
        <is>
          <t>Abondante</t>
        </is>
      </c>
      <c r="I7" s="62" t="inlineStr">
        <is>
          <t>&gt;7 jours</t>
        </is>
      </c>
      <c r="J7" s="62" t="inlineStr">
        <is>
          <t>Modérée</t>
        </is>
      </c>
      <c r="K7" s="62" t="inlineStr">
        <is>
          <t>Modérée</t>
        </is>
      </c>
      <c r="L7" s="62" t="inlineStr">
        <is>
          <t>Non renseigné</t>
        </is>
      </c>
      <c r="M7" s="62" t="inlineStr">
        <is>
          <t>Non renseigné</t>
        </is>
      </c>
      <c r="N7" s="62" t="inlineStr">
        <is>
          <t>Non renseigné</t>
        </is>
      </c>
      <c r="O7" s="62" t="inlineStr">
        <is>
          <t>20-24</t>
        </is>
      </c>
      <c r="P7" s="62" t="inlineStr">
        <is>
          <t>6-10 ans</t>
        </is>
      </c>
      <c r="Q7" s="62" t="inlineStr">
        <is>
          <t>2</t>
        </is>
      </c>
      <c r="R7" s="62" t="inlineStr">
        <is>
          <t>Non renseigné</t>
        </is>
      </c>
      <c r="S7" s="62" t="inlineStr">
        <is>
          <t>Actuelle</t>
        </is>
      </c>
      <c r="T7" s="62" t="inlineStr">
        <is>
          <t>Inconnu</t>
        </is>
      </c>
      <c r="U7" s="62" t="inlineStr">
        <is>
          <t>Fumeuse</t>
        </is>
      </c>
      <c r="V7" s="62" t="inlineStr">
        <is>
          <t>Élevé</t>
        </is>
      </c>
      <c r="W7" s="62" t="inlineStr">
        <is>
          <t>Régulière</t>
        </is>
      </c>
      <c r="X7" s="62" t="inlineStr">
        <is>
          <t>Non renseigné</t>
        </is>
      </c>
      <c r="Y7" s="62" t="inlineStr">
        <is>
          <t>Non renseigné</t>
        </is>
      </c>
      <c r="Z7" s="62" t="inlineStr">
        <is>
          <t>endoaction</t>
        </is>
      </c>
    </row>
    <row r="8" ht="15" customHeight="1" s="33">
      <c r="B8" s="62" t="inlineStr">
        <is>
          <t>IV</t>
        </is>
      </c>
      <c r="C8" s="62" t="inlineStr">
        <is>
          <t>30-34</t>
        </is>
      </c>
      <c r="D8" s="62" t="inlineStr">
        <is>
          <t>Obésité (≥30)</t>
        </is>
      </c>
      <c r="E8" s="62" t="inlineStr">
        <is>
          <t>≥15</t>
        </is>
      </c>
      <c r="F8" s="62" t="inlineStr">
        <is>
          <t>Irrégulier</t>
        </is>
      </c>
      <c r="J8" s="62" t="inlineStr">
        <is>
          <t>Sévère</t>
        </is>
      </c>
      <c r="K8" s="62" t="inlineStr">
        <is>
          <t>Sévère</t>
        </is>
      </c>
      <c r="O8" s="62" t="inlineStr">
        <is>
          <t>25-29</t>
        </is>
      </c>
      <c r="P8" s="62" t="inlineStr">
        <is>
          <t>&gt;10 ans</t>
        </is>
      </c>
      <c r="Q8" s="62" t="inlineStr">
        <is>
          <t>≥3</t>
        </is>
      </c>
      <c r="Z8" s="62" t="inlineStr">
        <is>
          <t>social</t>
        </is>
      </c>
    </row>
    <row r="9" ht="15" customHeight="1" s="33">
      <c r="B9" s="62" t="inlineStr">
        <is>
          <t>Inconnu</t>
        </is>
      </c>
      <c r="C9" s="62" t="inlineStr">
        <is>
          <t>35-39</t>
        </is>
      </c>
      <c r="E9" s="62" t="inlineStr">
        <is>
          <t>Inconnu</t>
        </is>
      </c>
      <c r="O9" s="62" t="inlineStr">
        <is>
          <t>≥30</t>
        </is>
      </c>
      <c r="P9" s="62" t="inlineStr">
        <is>
          <t>Inconnu</t>
        </is>
      </c>
      <c r="Z9" s="62" t="inlineStr">
        <is>
          <t>autre</t>
        </is>
      </c>
    </row>
    <row r="10" ht="15" customHeight="1" s="33">
      <c r="B10" s="62" t="inlineStr">
        <is>
          <t>Non applicable</t>
        </is>
      </c>
      <c r="C10" s="62" t="inlineStr">
        <is>
          <t>40-44</t>
        </is>
      </c>
      <c r="O10" s="62" t="inlineStr">
        <is>
          <t>Inconnu</t>
        </is>
      </c>
      <c r="P10" s="62" t="inlineStr">
        <is>
          <t>Non concernée</t>
        </is>
      </c>
      <c r="Z10" s="62" t="inlineStr">
        <is>
          <t>communaute_intl</t>
        </is>
      </c>
    </row>
    <row r="11" ht="15" customHeight="1" s="33">
      <c r="C11" s="62" t="inlineStr">
        <is>
          <t>≥45</t>
        </is>
      </c>
      <c r="O11" s="62" t="inlineStr">
        <is>
          <t>Non concernée</t>
        </is>
      </c>
      <c r="Z11" s="62" t="inlineStr">
        <is>
          <t>inconnu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2" min="1" max="1"/>
    <col width="30" customWidth="1" style="32" min="2" max="2"/>
    <col width="44" customWidth="1" style="32" min="3" max="3"/>
    <col width="15" customWidth="1" style="32" min="4" max="4"/>
    <col width="50" customWidth="1" style="32" min="5" max="5"/>
  </cols>
  <sheetData>
    <row r="1" ht="17.35" customHeight="1" s="33">
      <c r="A1" s="38" t="inlineStr">
        <is>
          <t>Règles de contrôle et de nettoyage</t>
        </is>
      </c>
    </row>
    <row r="2" ht="15" customHeight="1" s="33">
      <c r="A2" s="43" t="inlineStr">
        <is>
          <t>À implémenter comme assertions dans le pipeline. BLOQUANT = lever une exception ; ALERTE = journaliser et inspecter ; AUTO = correction automatique tracée.</t>
        </is>
      </c>
    </row>
    <row r="4" ht="31.5" customHeight="1" s="33">
      <c r="A4" s="39" t="inlineStr">
        <is>
          <t>ID</t>
        </is>
      </c>
      <c r="B4" s="39" t="inlineStr">
        <is>
          <t>Contrôle</t>
        </is>
      </c>
      <c r="C4" s="39" t="inlineStr">
        <is>
          <t>Condition d'échec</t>
        </is>
      </c>
      <c r="D4" s="39" t="inlineStr">
        <is>
          <t>Sévérité</t>
        </is>
      </c>
      <c r="E4" s="39" t="inlineStr">
        <is>
          <t>Action</t>
        </is>
      </c>
    </row>
    <row r="5" ht="37.5" customHeight="1" s="33">
      <c r="A5" s="50" t="inlineStr">
        <is>
          <t>C-13</t>
        </is>
      </c>
      <c r="B5" s="41" t="inlineStr">
        <is>
          <t>Normalisation des libellés</t>
        </is>
      </c>
      <c r="C5" s="41" t="inlineStr">
        <is>
          <t>Une valeur correspond à un alias et non à la valeur canonique</t>
        </is>
      </c>
      <c r="D5" s="49" t="inlineStr">
        <is>
          <t>AUTO</t>
        </is>
      </c>
      <c r="E5" s="41" t="inlineStr">
        <is>
          <t>Première étape du pipeline, AVANT tout autre contrôle. Construire le dictionnaire de normalisation depuis la colonne « Alias acceptés » de la feuille Modalites.</t>
        </is>
      </c>
    </row>
    <row r="6" ht="37.5" customHeight="1" s="33">
      <c r="A6" s="50" t="inlineStr">
        <is>
          <t>C-01</t>
        </is>
      </c>
      <c r="B6" s="41" t="inlineStr">
        <is>
          <t>Colonnes attendues</t>
        </is>
      </c>
      <c r="C6" s="41" t="inlineStr">
        <is>
          <t>Une variable du dictionnaire est absente de l'export</t>
        </is>
      </c>
      <c r="D6" s="46" t="inlineStr">
        <is>
          <t>BLOQUANT</t>
        </is>
      </c>
      <c r="E6" s="41" t="inlineStr">
        <is>
          <t>Sélectionner les colonnes par NOM, jamais par position — le volet HP peut ajouter des questions.</t>
        </is>
      </c>
    </row>
    <row r="7" ht="37.5" customHeight="1" s="33">
      <c r="A7" s="50" t="inlineStr">
        <is>
          <t>C-05</t>
        </is>
      </c>
      <c r="B7" s="41" t="inlineStr">
        <is>
          <t>Modalités autorisées</t>
        </is>
      </c>
      <c r="C7" s="41" t="inlineStr">
        <is>
          <t>Après normalisation, une valeur ne figure pas dans la feuille Modalites</t>
        </is>
      </c>
      <c r="D7" s="46" t="inlineStr">
        <is>
          <t>BLOQUANT</t>
        </is>
      </c>
      <c r="E7" s="41" t="inlineStr">
        <is>
          <t>Faute de frappe, problème d'encodage, ou modification du formulaire. Vérifier la cause avant toute correction manuelle.</t>
        </is>
      </c>
    </row>
    <row r="8" ht="37.5" customHeight="1" s="33">
      <c r="A8" s="50" t="inlineStr">
        <is>
          <t>C-02</t>
        </is>
      </c>
      <c r="B8" s="41" t="inlineStr">
        <is>
          <t>Cohérence Stade / Groupe</t>
        </is>
      </c>
      <c r="C8" s="41" t="inlineStr">
        <is>
          <t>Stade renseigné (I–IV ou Inconnu) alors que Groupe = Témoin</t>
        </is>
      </c>
      <c r="D8" s="46" t="inlineStr">
        <is>
          <t>BLOQUANT</t>
        </is>
      </c>
      <c r="E8" s="41" t="inlineStr">
        <is>
          <t>Incohérent avec la logique d'affichage du formulaire. Inspecter l'export avant tout traitement.</t>
        </is>
      </c>
    </row>
    <row r="9" ht="37.5" customHeight="1" s="33">
      <c r="A9" s="50" t="inlineStr">
        <is>
          <t>C-03</t>
        </is>
      </c>
      <c r="B9" s="41" t="inlineStr">
        <is>
          <t>Cohérence Délai / Groupe</t>
        </is>
      </c>
      <c r="C9" s="41" t="inlineStr">
        <is>
          <t>Delai_diagnostic ≠ « Non concernée » alors que Groupe = Témoin</t>
        </is>
      </c>
      <c r="D9" s="63" t="inlineStr">
        <is>
          <t>ALERTE</t>
        </is>
      </c>
      <c r="E9" s="41" t="inlineStr">
        <is>
          <t>Probable incompréhension de la question. Recoder en « Non concernée » et marquer flag_incoherent.</t>
        </is>
      </c>
    </row>
    <row r="10" ht="37.5" customHeight="1" s="33">
      <c r="A10" s="50" t="inlineStr">
        <is>
          <t>C-04</t>
        </is>
      </c>
      <c r="B10" s="41" t="inlineStr">
        <is>
          <t>Cohérence cycle</t>
        </is>
      </c>
      <c r="C10" s="41" t="inlineStr">
        <is>
          <t>Longueur_cycle = « Irrégulier » et Regularite_cycle = « Régulier » (ou l'inverse)</t>
        </is>
      </c>
      <c r="D10" s="63" t="inlineStr">
        <is>
          <t>ALERTE</t>
        </is>
      </c>
      <c r="E10" s="41" t="inlineStr">
        <is>
          <t>Marquer flag_incoherent. Faire primer Regularite_cycle, question plus directe.</t>
        </is>
      </c>
    </row>
    <row r="11" ht="37.5" customHeight="1" s="33">
      <c r="A11" s="50" t="inlineStr">
        <is>
          <t>C-06</t>
        </is>
      </c>
      <c r="B11" s="41" t="inlineStr">
        <is>
          <t>NA structurel vs NA de réponse</t>
        </is>
      </c>
      <c r="C11" s="41" t="inlineStr">
        <is>
          <t>Stade codé 0 ou « Inconnu » pour une répondante non diagnostiquée</t>
        </is>
      </c>
      <c r="D11" s="46" t="inlineStr">
        <is>
          <t>BLOQUANT</t>
        </is>
      </c>
      <c r="E11" s="41" t="inlineStr">
        <is>
          <t>NA_non_applicable, NA_inconnu et NA_non_renseigne doivent rester distincts jusqu'à la modélisation.</t>
        </is>
      </c>
    </row>
    <row r="12" ht="37.5" customHeight="1" s="33">
      <c r="A12" s="50" t="inlineStr">
        <is>
          <t>C-07</t>
        </is>
      </c>
      <c r="B12" s="41" t="inlineStr">
        <is>
          <t>Fuite de cible</t>
        </is>
      </c>
      <c r="C12" s="41" t="inlineStr">
        <is>
          <t>Groupe, Stade ou Delai_diagnostic présents dans la matrice X</t>
        </is>
      </c>
      <c r="D12" s="46" t="inlineStr">
        <is>
          <t>BLOQUANT</t>
        </is>
      </c>
      <c r="E12" s="41" t="inlineStr">
        <is>
          <t>Assertion à placer juste avant train_test_split. Une AUC &gt; 0,97 en est le symptôme typique.</t>
        </is>
      </c>
    </row>
    <row r="13" ht="37.5" customHeight="1" s="33">
      <c r="A13" s="50" t="inlineStr">
        <is>
          <t>C-08</t>
        </is>
      </c>
      <c r="B13" s="41" t="inlineStr">
        <is>
          <t>k-anonymat</t>
        </is>
      </c>
      <c r="C13" s="41" t="inlineStr">
        <is>
          <t>Une combinaison de quasi-identifiants apparaît moins de 5 fois</t>
        </is>
      </c>
      <c r="D13" s="46" t="inlineStr">
        <is>
          <t>BLOQUANT avant diffusion</t>
        </is>
      </c>
      <c r="E13" s="41" t="inlineStr">
        <is>
          <t>QI = Tranche_age + IMC_categorie + Parite + Tabagisme + Consommation_alcool + Activite_physique. Généraliser (fusionner des tranches) puis, en dernier recours, supprimer la ligne.</t>
        </is>
      </c>
    </row>
    <row r="14" ht="37.5" customHeight="1" s="33">
      <c r="A14" s="50" t="inlineStr">
        <is>
          <t>C-09</t>
        </is>
      </c>
      <c r="B14" s="41" t="inlineStr">
        <is>
          <t>Doublons</t>
        </is>
      </c>
      <c r="C14" s="41" t="inlineStr">
        <is>
          <t>Deux lignes strictement identiques sur toutes les variables</t>
        </is>
      </c>
      <c r="D14" s="63" t="inlineStr">
        <is>
          <t>ALERTE</t>
        </is>
      </c>
      <c r="E14" s="41" t="inlineStr">
        <is>
          <t>Peut être une double soumission comme deux profils réellement identiques. Ne pas supprimer automatiquement : journaliser et décider explicitement.</t>
        </is>
      </c>
    </row>
    <row r="15" ht="37.5" customHeight="1" s="33">
      <c r="A15" s="50" t="inlineStr">
        <is>
          <t>C-10</t>
        </is>
      </c>
      <c r="B15" s="41" t="inlineStr">
        <is>
          <t>Équilibre des groupes</t>
        </is>
      </c>
      <c r="C15" s="41" t="inlineStr">
        <is>
          <t>Effectif d'un groupe &lt; 30, ou ratio hors [1:3 ; 3:1]</t>
        </is>
      </c>
      <c r="D15" s="63" t="inlineStr">
        <is>
          <t>ALERTE</t>
        </is>
      </c>
      <c r="E15" s="41" t="inlineStr">
        <is>
          <t>Conditionne le choix des métriques (privilégier PR-AUC) et l'usage éventuel de class_weight.</t>
        </is>
      </c>
    </row>
    <row r="16" ht="37.5" customHeight="1" s="33">
      <c r="A16" s="50" t="inlineStr">
        <is>
          <t>C-11</t>
        </is>
      </c>
      <c r="B16" s="41" t="inlineStr">
        <is>
          <t>Taux de non-réponse</t>
        </is>
      </c>
      <c r="C16" s="41" t="inlineStr">
        <is>
          <t>Une variable dépasse 20 % de NA_non_renseigne</t>
        </is>
      </c>
      <c r="D16" s="63" t="inlineStr">
        <is>
          <t>ALERTE</t>
        </is>
      </c>
      <c r="E16" s="41" t="inlineStr">
        <is>
          <t>Documenter. Envisager l'exclusion plutôt que l'imputation si le mécanisme n'est pas aléatoire.</t>
        </is>
      </c>
    </row>
    <row r="17" ht="37.5" customHeight="1" s="33">
      <c r="A17" s="50" t="inlineStr">
        <is>
          <t>C-12</t>
        </is>
      </c>
      <c r="B17" s="41" t="inlineStr">
        <is>
          <t>Contamination des témoins</t>
        </is>
      </c>
      <c r="C17" s="41" t="inlineStr">
        <is>
          <t>Groupe = Témoin mais Dysmenorrhee = Sévère ET Douleur_pelvienne = Sévère</t>
        </is>
      </c>
      <c r="D17" s="63" t="inlineStr">
        <is>
          <t>ALERTE</t>
        </is>
      </c>
      <c r="E17" s="41" t="inlineStr">
        <is>
          <t>Témoin probablement sous-diagnostiqué. Marquer flag_temoin_suspect et conserver pour l'analyse de sensibilité annoncée dans le briefing — ne pas supprimer d'office.</t>
        </is>
      </c>
    </row>
    <row r="18">
      <c r="A18" s="50" t="inlineStr">
        <is>
          <t>C-14</t>
        </is>
      </c>
      <c r="B18" s="41" t="inlineStr">
        <is>
          <t>Intégrité structurelle des formulaires</t>
        </is>
      </c>
      <c r="C18" s="41" t="inlineStr">
        <is>
          <t>Le jeu de clés d'un fichier importé ne correspond pas à celui déclaré dans la feuille Formulaires</t>
        </is>
      </c>
      <c r="D18" s="63" t="inlineStr">
        <is>
          <t>BLOQUANT</t>
        </is>
      </c>
      <c r="E18" s="41" t="inlineStr">
        <is>
          <t>Défense unique contre le décalage silencieux de colonnes : un formulaire modifié en cours de collecte produit un export qui se lit sans erreur mais dont les colonnes ne portent plus le bon contenu. Comparer les ensembles de clés à l'import, avant toute normalisation.</t>
        </is>
      </c>
    </row>
    <row r="19">
      <c r="A19" s="50" t="inlineStr">
        <is>
          <t>C-15</t>
        </is>
      </c>
      <c r="B19" s="41" t="inlineStr">
        <is>
          <t>Équivalence linguistique</t>
        </is>
      </c>
      <c r="C19" s="41" t="inlineStr">
        <is>
          <t>Distributions marginales significativement différentes entre Langue_formulaire = fr et = en, à canal constant</t>
        </is>
      </c>
      <c r="D19" s="63" t="inlineStr">
        <is>
          <t>ALERTE</t>
        </is>
      </c>
      <c r="E19" s="41" t="inlineStr">
        <is>
          <t>Une échelle de sévérité traduite ne garantit pas le même seuil de réponse. Test impossible tant que l'effectif EN reste faible : dans ce cas ne pas conclure à l'équivalence, la documenter comme limite.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32" min="1" max="4"/>
    <col width="15" customWidth="1" style="32" min="5" max="5"/>
    <col width="14" customWidth="1" style="32" min="6" max="6"/>
    <col width="16" customWidth="1" style="32" min="7" max="7"/>
    <col width="18" customWidth="1" style="32" min="8" max="9"/>
    <col width="14" customWidth="1" style="32" min="10" max="11"/>
    <col width="19" customWidth="1" style="32" min="12" max="12"/>
    <col width="13" customWidth="1" style="32" min="13" max="14"/>
    <col width="21" customWidth="1" style="32" min="15" max="15"/>
    <col width="22" customWidth="1" style="32" min="16" max="16"/>
    <col width="18" customWidth="1" style="32" min="17" max="17"/>
    <col width="13" customWidth="1" style="32" min="18" max="19"/>
    <col width="22" customWidth="1" style="32" min="20" max="20"/>
    <col width="21" customWidth="1" style="32" min="21" max="21"/>
    <col width="13" customWidth="1" style="32" min="22" max="22"/>
    <col width="19" customWidth="1" style="32" min="23" max="23"/>
    <col width="21" customWidth="1" style="32" min="24" max="24"/>
    <col width="13" customWidth="1" style="32" min="25" max="25"/>
    <col width="21" customWidth="1" style="32" min="26" max="26"/>
    <col width="18" customWidth="1" style="33" min="27" max="27"/>
    <col width="18" customWidth="1" style="33" min="28" max="28"/>
  </cols>
  <sheetData>
    <row r="1" ht="17.35" customHeight="1" s="33">
      <c r="A1" s="38" t="inlineStr">
        <is>
          <t>Feuille de collecte</t>
        </is>
      </c>
    </row>
    <row r="2" ht="15" customHeight="1" s="33">
      <c r="A2" s="43" t="inlineStr">
        <is>
          <t>Une répondante par ligne. Utiliser EXCLUSIVEMENT les valeurs des menus déroulants. Les lignes 5 à 7 sont des exemples : les supprimer avant transmission. Aucune donnée identifiante, aucun texte libre.</t>
        </is>
      </c>
    </row>
    <row r="4" ht="45.75" customHeight="1" s="33">
      <c r="A4" s="39" t="inlineStr">
        <is>
          <t>ID_anonyme</t>
        </is>
      </c>
      <c r="B4" s="39" t="inlineStr">
        <is>
          <t>Groupe</t>
        </is>
      </c>
      <c r="C4" s="39" t="inlineStr">
        <is>
          <t>Stade</t>
        </is>
      </c>
      <c r="D4" s="39" t="inlineStr">
        <is>
          <t>Tranche_age</t>
        </is>
      </c>
      <c r="E4" s="39" t="inlineStr">
        <is>
          <t>IMC_categorie</t>
        </is>
      </c>
      <c r="F4" s="39" t="inlineStr">
        <is>
          <t>Age_menarche</t>
        </is>
      </c>
      <c r="G4" s="39" t="inlineStr">
        <is>
          <t>Longueur_cycle</t>
        </is>
      </c>
      <c r="H4" s="39" t="inlineStr">
        <is>
          <t>Regularite_cycle</t>
        </is>
      </c>
      <c r="I4" s="39" t="inlineStr">
        <is>
          <t>Abondance_regles</t>
        </is>
      </c>
      <c r="J4" s="39" t="inlineStr">
        <is>
          <t>Duree_regles</t>
        </is>
      </c>
      <c r="K4" s="39" t="inlineStr">
        <is>
          <t>Dysmenorrhee</t>
        </is>
      </c>
      <c r="L4" s="39" t="inlineStr">
        <is>
          <t>Douleur_pelvienne</t>
        </is>
      </c>
      <c r="M4" s="39" t="inlineStr">
        <is>
          <t>Dyspareunie</t>
        </is>
      </c>
      <c r="N4" s="39" t="inlineStr">
        <is>
          <t>Dyschesie</t>
        </is>
      </c>
      <c r="O4" s="39" t="inlineStr">
        <is>
          <t>Symptomes_cycliques</t>
        </is>
      </c>
      <c r="P4" s="39" t="inlineStr">
        <is>
          <t>Age_apparition_symptomes</t>
        </is>
      </c>
      <c r="Q4" s="39" t="inlineStr">
        <is>
          <t>Delai_diagnostic</t>
        </is>
      </c>
      <c r="R4" s="39" t="inlineStr">
        <is>
          <t>Parite</t>
        </is>
      </c>
      <c r="S4" s="39" t="inlineStr">
        <is>
          <t>Infertilite</t>
        </is>
      </c>
      <c r="T4" s="39" t="inlineStr">
        <is>
          <t>Contraception_hormonale</t>
        </is>
      </c>
      <c r="U4" s="39" t="inlineStr">
        <is>
          <t>Antecedent_familial</t>
        </is>
      </c>
      <c r="V4" s="39" t="inlineStr">
        <is>
          <t>Tabagisme</t>
        </is>
      </c>
      <c r="W4" s="39" t="inlineStr">
        <is>
          <t>Activite_physique</t>
        </is>
      </c>
      <c r="X4" s="39" t="inlineStr">
        <is>
          <t>Consommation_alcool</t>
        </is>
      </c>
      <c r="Y4" s="39" t="inlineStr">
        <is>
          <t>SII</t>
        </is>
      </c>
      <c r="Z4" s="39" t="inlineStr">
        <is>
          <t>Maladie_auto_immune</t>
        </is>
      </c>
      <c r="AA4" s="39" t="inlineStr">
        <is>
          <t>Source_canal</t>
        </is>
      </c>
      <c r="AB4" s="39" t="inlineStr">
        <is>
          <t>Langue_formulaire</t>
        </is>
      </c>
    </row>
    <row r="5" ht="23.85" customHeight="1" s="33">
      <c r="A5" s="64" t="inlineStr">
        <is>
          <t>E001</t>
        </is>
      </c>
      <c r="B5" s="64" t="inlineStr">
        <is>
          <t>Cas</t>
        </is>
      </c>
      <c r="C5" s="64" t="inlineStr">
        <is>
          <t>II</t>
        </is>
      </c>
      <c r="D5" s="64" t="inlineStr">
        <is>
          <t>30-34</t>
        </is>
      </c>
      <c r="E5" s="64" t="inlineStr">
        <is>
          <t>Normal (18,5-24,9)</t>
        </is>
      </c>
      <c r="F5" s="64" t="inlineStr">
        <is>
          <t>11-12</t>
        </is>
      </c>
      <c r="G5" s="64" t="inlineStr">
        <is>
          <t>21-35 jours</t>
        </is>
      </c>
      <c r="H5" s="64" t="inlineStr">
        <is>
          <t>Régulier</t>
        </is>
      </c>
      <c r="I5" s="64" t="inlineStr">
        <is>
          <t>Abondante</t>
        </is>
      </c>
      <c r="J5" s="64" t="inlineStr">
        <is>
          <t>4-7 jours</t>
        </is>
      </c>
      <c r="K5" s="64" t="inlineStr">
        <is>
          <t>Sévère</t>
        </is>
      </c>
      <c r="L5" s="64" t="inlineStr">
        <is>
          <t>Modérée</t>
        </is>
      </c>
      <c r="M5" s="64" t="inlineStr">
        <is>
          <t>Oui</t>
        </is>
      </c>
      <c r="N5" s="64" t="inlineStr">
        <is>
          <t>Oui</t>
        </is>
      </c>
      <c r="O5" s="64" t="inlineStr">
        <is>
          <t>Oui</t>
        </is>
      </c>
      <c r="P5" s="64" t="inlineStr">
        <is>
          <t>15-19</t>
        </is>
      </c>
      <c r="Q5" s="64" t="inlineStr">
        <is>
          <t>6-10 ans</t>
        </is>
      </c>
      <c r="R5" s="64" t="inlineStr">
        <is>
          <t>0</t>
        </is>
      </c>
      <c r="S5" s="64" t="inlineStr">
        <is>
          <t>Oui</t>
        </is>
      </c>
      <c r="T5" s="64" t="inlineStr">
        <is>
          <t>Passée</t>
        </is>
      </c>
      <c r="U5" s="64" t="inlineStr">
        <is>
          <t>Oui</t>
        </is>
      </c>
      <c r="V5" s="64" t="inlineStr">
        <is>
          <t>Non-fumeuse</t>
        </is>
      </c>
      <c r="W5" s="64" t="inlineStr">
        <is>
          <t>Modéré</t>
        </is>
      </c>
      <c r="X5" s="64" t="inlineStr">
        <is>
          <t>Occasionnelle</t>
        </is>
      </c>
      <c r="Y5" s="64" t="inlineStr">
        <is>
          <t>Oui</t>
        </is>
      </c>
      <c r="Z5" s="64" t="inlineStr">
        <is>
          <t>Non</t>
        </is>
      </c>
      <c r="AA5" s="64" t="inlineStr">
        <is>
          <t>inconnu</t>
        </is>
      </c>
      <c r="AB5" s="64" t="inlineStr">
        <is>
          <t>fr</t>
        </is>
      </c>
    </row>
    <row r="6" ht="23.85" customHeight="1" s="33">
      <c r="A6" s="64" t="inlineStr">
        <is>
          <t>E002</t>
        </is>
      </c>
      <c r="B6" s="64" t="inlineStr">
        <is>
          <t>Témoin</t>
        </is>
      </c>
      <c r="C6" s="64" t="inlineStr">
        <is>
          <t>Non applicable</t>
        </is>
      </c>
      <c r="D6" s="64" t="inlineStr">
        <is>
          <t>25-29</t>
        </is>
      </c>
      <c r="E6" s="64" t="inlineStr">
        <is>
          <t>Normal (18,5-24,9)</t>
        </is>
      </c>
      <c r="F6" s="64" t="inlineStr">
        <is>
          <t>13-14</t>
        </is>
      </c>
      <c r="G6" s="64" t="inlineStr">
        <is>
          <t>21-35 jours</t>
        </is>
      </c>
      <c r="H6" s="64" t="inlineStr">
        <is>
          <t>Régulier</t>
        </is>
      </c>
      <c r="I6" s="64" t="inlineStr">
        <is>
          <t>Normale</t>
        </is>
      </c>
      <c r="J6" s="64" t="inlineStr">
        <is>
          <t>4-7 jours</t>
        </is>
      </c>
      <c r="K6" s="64" t="inlineStr">
        <is>
          <t>Légère</t>
        </is>
      </c>
      <c r="L6" s="64" t="inlineStr">
        <is>
          <t>Aucune</t>
        </is>
      </c>
      <c r="M6" s="64" t="inlineStr">
        <is>
          <t>Non</t>
        </is>
      </c>
      <c r="N6" s="64" t="inlineStr">
        <is>
          <t>Non</t>
        </is>
      </c>
      <c r="O6" s="64" t="inlineStr">
        <is>
          <t>Non</t>
        </is>
      </c>
      <c r="P6" s="64" t="inlineStr">
        <is>
          <t>20-24</t>
        </is>
      </c>
      <c r="Q6" s="64" t="inlineStr">
        <is>
          <t>Non concernée</t>
        </is>
      </c>
      <c r="R6" s="64" t="inlineStr">
        <is>
          <t>1</t>
        </is>
      </c>
      <c r="S6" s="64" t="inlineStr">
        <is>
          <t>Non</t>
        </is>
      </c>
      <c r="T6" s="64" t="inlineStr">
        <is>
          <t>Actuelle</t>
        </is>
      </c>
      <c r="U6" s="64" t="inlineStr">
        <is>
          <t>Non</t>
        </is>
      </c>
      <c r="V6" s="64" t="inlineStr">
        <is>
          <t>Non-fumeuse</t>
        </is>
      </c>
      <c r="W6" s="64" t="inlineStr">
        <is>
          <t>Élevé</t>
        </is>
      </c>
      <c r="X6" s="64" t="inlineStr">
        <is>
          <t>Jamais</t>
        </is>
      </c>
      <c r="Y6" s="64" t="inlineStr">
        <is>
          <t>Non</t>
        </is>
      </c>
      <c r="Z6" s="64" t="inlineStr">
        <is>
          <t>Non</t>
        </is>
      </c>
      <c r="AA6" s="64" t="inlineStr">
        <is>
          <t>autre</t>
        </is>
      </c>
      <c r="AB6" s="64" t="inlineStr">
        <is>
          <t>fr</t>
        </is>
      </c>
    </row>
    <row r="7" ht="23.85" customHeight="1" s="33">
      <c r="A7" s="64" t="inlineStr">
        <is>
          <t>E003</t>
        </is>
      </c>
      <c r="B7" s="64" t="inlineStr">
        <is>
          <t>Témoin</t>
        </is>
      </c>
      <c r="C7" s="64" t="inlineStr">
        <is>
          <t>Non applicable</t>
        </is>
      </c>
      <c r="D7" s="64" t="inlineStr">
        <is>
          <t>20-24</t>
        </is>
      </c>
      <c r="E7" s="64" t="inlineStr">
        <is>
          <t>Surpoids (25-29,9)</t>
        </is>
      </c>
      <c r="F7" s="64" t="inlineStr">
        <is>
          <t>13-14</t>
        </is>
      </c>
      <c r="G7" s="64" t="inlineStr">
        <is>
          <t>21-35 jours</t>
        </is>
      </c>
      <c r="H7" s="64" t="inlineStr">
        <is>
          <t>Régulier</t>
        </is>
      </c>
      <c r="I7" s="64" t="inlineStr">
        <is>
          <t>Faible</t>
        </is>
      </c>
      <c r="J7" s="64" t="inlineStr">
        <is>
          <t>≤3 jours</t>
        </is>
      </c>
      <c r="K7" s="64" t="inlineStr">
        <is>
          <t>Aucune</t>
        </is>
      </c>
      <c r="L7" s="64" t="inlineStr">
        <is>
          <t>Aucune</t>
        </is>
      </c>
      <c r="M7" s="64" t="inlineStr">
        <is>
          <t>Non</t>
        </is>
      </c>
      <c r="N7" s="64" t="inlineStr">
        <is>
          <t>Non</t>
        </is>
      </c>
      <c r="O7" s="64" t="inlineStr">
        <is>
          <t>Non</t>
        </is>
      </c>
      <c r="P7" s="64" t="inlineStr">
        <is>
          <t>Non concernée</t>
        </is>
      </c>
      <c r="Q7" s="64" t="inlineStr">
        <is>
          <t>Non concernée</t>
        </is>
      </c>
      <c r="R7" s="64" t="inlineStr">
        <is>
          <t>0</t>
        </is>
      </c>
      <c r="S7" s="64" t="inlineStr">
        <is>
          <t>Non</t>
        </is>
      </c>
      <c r="T7" s="64" t="inlineStr">
        <is>
          <t>Jamais</t>
        </is>
      </c>
      <c r="U7" s="64" t="inlineStr">
        <is>
          <t>Inconnu</t>
        </is>
      </c>
      <c r="V7" s="64" t="inlineStr">
        <is>
          <t>Fumeuse</t>
        </is>
      </c>
      <c r="W7" s="64" t="inlineStr">
        <is>
          <t>Faible</t>
        </is>
      </c>
      <c r="X7" s="64" t="inlineStr">
        <is>
          <t>Occasionnelle</t>
        </is>
      </c>
      <c r="Y7" s="64" t="inlineStr">
        <is>
          <t>Non</t>
        </is>
      </c>
      <c r="Z7" s="64" t="inlineStr">
        <is>
          <t>Non</t>
        </is>
      </c>
      <c r="AA7" s="64" t="inlineStr">
        <is>
          <t>autre</t>
        </is>
      </c>
      <c r="AB7" s="64" t="inlineStr">
        <is>
          <t>en</t>
        </is>
      </c>
    </row>
  </sheetData>
  <dataValidations count="27">
    <dataValidation sqref="B5:B400" showDropDown="0" showInputMessage="0" showErrorMessage="1" allowBlank="1" errorTitle="Valeur non autorisée" error="Choisir une valeur dans la liste (voir feuille Modalites)." type="list" errorStyle="stop" operator="between">
      <formula1>Listes!$A$5:$A$6</formula1>
      <formula2>0</formula2>
    </dataValidation>
    <dataValidation sqref="C5:C400" showDropDown="0" showInputMessage="0" showErrorMessage="1" allowBlank="1" errorTitle="Valeur non autorisée" error="Choisir une valeur dans la liste (voir feuille Modalites)." type="list" errorStyle="stop" operator="between">
      <formula1>Listes!$B$5:$B$10</formula1>
      <formula2>0</formula2>
    </dataValidation>
    <dataValidation sqref="D5:D400" showDropDown="0" showInputMessage="0" showErrorMessage="1" allowBlank="1" errorTitle="Valeur non autorisée" error="Choisir une valeur dans la liste (voir feuille Modalites)." type="list" errorStyle="stop" operator="between">
      <formula1>Listes!$C$5:$C$11</formula1>
      <formula2>0</formula2>
    </dataValidation>
    <dataValidation sqref="E5:E400" showDropDown="0" showInputMessage="0" showErrorMessage="1" allowBlank="1" errorTitle="Valeur non autorisée" error="Choisir une valeur dans la liste (voir feuille Modalites)." type="list" errorStyle="stop" operator="between">
      <formula1>Listes!$D$5:$D$8</formula1>
      <formula2>0</formula2>
    </dataValidation>
    <dataValidation sqref="F5:F400" showDropDown="0" showInputMessage="0" showErrorMessage="1" allowBlank="1" errorTitle="Valeur non autorisée" error="Choisir une valeur dans la liste (voir feuille Modalites)." type="list" errorStyle="stop" operator="between">
      <formula1>Listes!$E$5:$E$9</formula1>
      <formula2>0</formula2>
    </dataValidation>
    <dataValidation sqref="G5:G400" showDropDown="0" showInputMessage="0" showErrorMessage="1" allowBlank="1" errorTitle="Valeur non autorisée" error="Choisir une valeur dans la liste (voir feuille Modalites)." type="list" errorStyle="stop" operator="between">
      <formula1>Listes!$F$5:$F$8</formula1>
      <formula2>0</formula2>
    </dataValidation>
    <dataValidation sqref="H5:H400" showDropDown="0" showInputMessage="0" showErrorMessage="1" allowBlank="1" errorTitle="Valeur non autorisée" error="Choisir une valeur dans la liste (voir feuille Modalites)." type="list" errorStyle="stop" operator="between">
      <formula1>Listes!$G$5:$G$6</formula1>
      <formula2>0</formula2>
    </dataValidation>
    <dataValidation sqref="I5:I400" showDropDown="0" showInputMessage="0" showErrorMessage="1" allowBlank="1" errorTitle="Valeur non autorisée" error="Choisir une valeur dans la liste (voir feuille Modalites)." type="list" errorStyle="stop" operator="between">
      <formula1>Listes!$H$5:$H$7</formula1>
      <formula2>0</formula2>
    </dataValidation>
    <dataValidation sqref="J5:J400" showDropDown="0" showInputMessage="0" showErrorMessage="1" allowBlank="1" errorTitle="Valeur non autorisée" error="Choisir une valeur dans la liste (voir feuille Modalites)." type="list" errorStyle="stop" operator="between">
      <formula1>Listes!$I$5:$I$7</formula1>
      <formula2>0</formula2>
    </dataValidation>
    <dataValidation sqref="K5:K400" showDropDown="0" showInputMessage="0" showErrorMessage="1" allowBlank="1" errorTitle="Valeur non autorisée" error="Choisir une valeur dans la liste (voir feuille Modalites)." type="list" errorStyle="stop" operator="between">
      <formula1>Listes!$J$5:$J$8</formula1>
      <formula2>0</formula2>
    </dataValidation>
    <dataValidation sqref="L5:L400" showDropDown="0" showInputMessage="0" showErrorMessage="1" allowBlank="1" errorTitle="Valeur non autorisée" error="Choisir une valeur dans la liste (voir feuille Modalites)." type="list" errorStyle="stop" operator="between">
      <formula1>Listes!$K$5:$K$8</formula1>
      <formula2>0</formula2>
    </dataValidation>
    <dataValidation sqref="M5:M400" showDropDown="0" showInputMessage="0" showErrorMessage="1" allowBlank="1" errorTitle="Valeur non autorisée" error="Choisir une valeur dans la liste (voir feuille Modalites)." type="list" errorStyle="stop" operator="between">
      <formula1>Listes!$L$5:$L$7</formula1>
      <formula2>0</formula2>
    </dataValidation>
    <dataValidation sqref="N5:N400" showDropDown="0" showInputMessage="0" showErrorMessage="1" allowBlank="1" errorTitle="Valeur non autorisée" error="Choisir une valeur dans la liste (voir feuille Modalites)." type="list" errorStyle="stop" operator="between">
      <formula1>Listes!$M$5:$M$7</formula1>
      <formula2>0</formula2>
    </dataValidation>
    <dataValidation sqref="O5:O400" showDropDown="0" showInputMessage="0" showErrorMessage="1" allowBlank="1" errorTitle="Valeur non autorisée" error="Choisir une valeur dans la liste (voir feuille Modalites)." type="list" errorStyle="stop" operator="between">
      <formula1>Listes!$N$5:$N$7</formula1>
      <formula2>0</formula2>
    </dataValidation>
    <dataValidation sqref="P5:P400" showDropDown="0" showInputMessage="0" showErrorMessage="1" allowBlank="1" errorTitle="Valeur non autorisée" error="Choisir une valeur dans la liste (voir feuille Modalites)." type="list" errorStyle="stop" operator="between">
      <formula1>Listes!$O$5:$O$11</formula1>
      <formula2>0</formula2>
    </dataValidation>
    <dataValidation sqref="Q5:Q400" showDropDown="0" showInputMessage="0" showErrorMessage="1" allowBlank="1" errorTitle="Valeur non autorisée" error="Choisir une valeur dans la liste (voir feuille Modalites)." type="list" errorStyle="stop" operator="between">
      <formula1>Listes!$P$5:$P$10</formula1>
      <formula2>0</formula2>
    </dataValidation>
    <dataValidation sqref="R5:R400" showDropDown="0" showInputMessage="0" showErrorMessage="1" allowBlank="1" errorTitle="Valeur non autorisée" error="Choisir une valeur dans la liste (voir feuille Modalites)." type="list" errorStyle="stop" operator="between">
      <formula1>Listes!$Q$5:$Q$8</formula1>
      <formula2>0</formula2>
    </dataValidation>
    <dataValidation sqref="S5:S400" showDropDown="0" showInputMessage="0" showErrorMessage="1" allowBlank="1" errorTitle="Valeur non autorisée" error="Choisir une valeur dans la liste (voir feuille Modalites)." type="list" errorStyle="stop" operator="between">
      <formula1>Listes!$R$5:$R$7</formula1>
      <formula2>0</formula2>
    </dataValidation>
    <dataValidation sqref="T5:T400" showDropDown="0" showInputMessage="0" showErrorMessage="1" allowBlank="1" errorTitle="Valeur non autorisée" error="Choisir une valeur dans la liste (voir feuille Modalites)." type="list" errorStyle="stop" operator="between">
      <formula1>Listes!$S$5:$S$7</formula1>
      <formula2>0</formula2>
    </dataValidation>
    <dataValidation sqref="U5:U400" showDropDown="0" showInputMessage="0" showErrorMessage="1" allowBlank="1" errorTitle="Valeur non autorisée" error="Choisir une valeur dans la liste (voir feuille Modalites)." type="list" errorStyle="stop" operator="between">
      <formula1>Listes!$T$5:$T$7</formula1>
      <formula2>0</formula2>
    </dataValidation>
    <dataValidation sqref="V5:V400" showDropDown="0" showInputMessage="0" showErrorMessage="1" allowBlank="1" errorTitle="Valeur non autorisée" error="Choisir une valeur dans la liste (voir feuille Modalites)." type="list" errorStyle="stop" operator="between">
      <formula1>Listes!$U$5:$U$7</formula1>
      <formula2>0</formula2>
    </dataValidation>
    <dataValidation sqref="W5:W400" showDropDown="0" showInputMessage="0" showErrorMessage="1" allowBlank="1" errorTitle="Valeur non autorisée" error="Choisir une valeur dans la liste (voir feuille Modalites)." type="list" errorStyle="stop" operator="between">
      <formula1>Listes!$V$5:$V$7</formula1>
      <formula2>0</formula2>
    </dataValidation>
    <dataValidation sqref="X5:X400" showDropDown="0" showInputMessage="0" showErrorMessage="1" allowBlank="1" errorTitle="Valeur non autorisée" error="Choisir une valeur dans la liste (voir feuille Modalites)." type="list" errorStyle="stop" operator="between">
      <formula1>Listes!$W$5:$W$7</formula1>
      <formula2>0</formula2>
    </dataValidation>
    <dataValidation sqref="Y5:Y400" showDropDown="0" showInputMessage="0" showErrorMessage="1" allowBlank="1" errorTitle="Valeur non autorisée" error="Choisir une valeur dans la liste (voir feuille Modalites)." type="list" errorStyle="stop" operator="between">
      <formula1>Listes!$X$5:$X$7</formula1>
      <formula2>0</formula2>
    </dataValidation>
    <dataValidation sqref="Z5:Z400" showDropDown="0" showInputMessage="0" showErrorMessage="1" allowBlank="1" errorTitle="Valeur non autorisée" error="Choisir une valeur dans la liste (voir feuille Modalites)." type="list" errorStyle="stop" operator="between">
      <formula1>Listes!$Y$5:$Y$7</formula1>
      <formula2>0</formula2>
    </dataValidation>
    <dataValidation sqref="AA5:AA400" showDropDown="0" showInputMessage="0" showErrorMessage="0" allowBlank="1" type="list">
      <formula1>Listes!$Z$5:$Z$11</formula1>
    </dataValidation>
    <dataValidation sqref="AB5:AB400" showDropDown="0" showInputMessage="0" showErrorMessage="0" allowBlank="1" type="list">
      <formula1>Listes!$AA$5:$AA$6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2026-08-09T23:36:16Z</dcterms:created>
  <dcterms:modified xmlns:dcterms="http://purl.org/dc/terms/" xmlns:xsi="http://www.w3.org/2001/XMLSchema-instance" xsi:type="dcterms:W3CDTF">2026-08-31T21:53:52Z</dcterms:modified>
  <cp:revision>0</cp:revision>
</cp:coreProperties>
</file>